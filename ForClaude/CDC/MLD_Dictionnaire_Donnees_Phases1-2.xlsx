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5" name="ACTEUR" state="visible" r:id="rId4"/>
    <sheet sheetId="11" name="CONTACT" state="visible" r:id="rId5"/>
    <sheet sheetId="13" name="ROLE" state="visible" r:id="rId6"/>
    <sheet sheetId="14" name="SUPPLEANCE" state="visible" r:id="rId7"/>
    <sheet sheetId="16" name="DEVIS_CONSULTE" state="visible" r:id="rId8"/>
    <sheet sheetId="17" name="PIECE_JOINTE" state="visible" r:id="rId9"/>
    <sheet sheetId="18" name="STATUT" state="visible" r:id="rId10"/>
    <sheet sheetId="19" name="HISTORIQUE_STATUT" state="visible" r:id="rId11"/>
    <sheet sheetId="21" name="CERTIFICAT_SERVICE_FAIT" state="visible" r:id="rId12"/>
    <sheet sheetId="22" name="STATUT_CSF" state="visible" r:id="rId13"/>
    <sheet sheetId="23" name="HISTORIQUE_STATUT_CSF" state="visible" r:id="rId14"/>
    <sheet sheetId="2" name="DIRECTION" state="visible" r:id="rId15"/>
    <sheet sheetId="3" name="SERVICE" state="visible" r:id="rId16"/>
    <sheet sheetId="4" name="CELLULE" state="visible" r:id="rId17"/>
    <sheet sheetId="8" name="CUG" state="visible" r:id="rId18"/>
    <sheet sheetId="6" name="SITE" state="visible" r:id="rId19"/>
    <sheet sheetId="24" name="SOUS_SITE" state="visible" r:id="rId20"/>
    <sheet sheetId="7" name="SECTEUR" state="visible" r:id="rId21"/>
    <sheet sheetId="25" name="SOUS_SECTEUR" state="visible" r:id="rId22"/>
    <sheet sheetId="10" name="FOURNISSEUR" state="visible" r:id="rId23"/>
    <sheet sheetId="12" name="MARCHE" state="visible" r:id="rId24"/>
    <sheet sheetId="20" name="SEUIL_VALIDATION_DS" state="visible" r:id="rId25"/>
    <sheet sheetId="15" name="DEMANDE_ACHAT" state="visible" r:id="rId26"/>
    <sheet sheetId="9" name="OPERATION_INVESTISSEMENT" state="visible" r:id="rId27"/>
    <sheet sheetId="1" name="SOMMAIRE" state="visible" r:id="rId28"/>
  </sheets>
  <calcPr calcId="171027"/>
</workbook>
</file>

<file path=xl/sharedStrings.xml><?xml version="1.0" encoding="utf-8"?>
<sst xmlns="http://schemas.openxmlformats.org/spreadsheetml/2006/main" count="1289" uniqueCount="474">
  <si>
    <t>Table ACTEUR — référentiel organisationnel</t>
  </si>
  <si>
    <t>Phase 1</t>
  </si>
  <si>
    <t>NOMCHAMP</t>
  </si>
  <si>
    <t>TYPECHAMP</t>
  </si>
  <si>
    <t>CONTRAINTE</t>
  </si>
  <si>
    <t>COMMENTAIRES</t>
  </si>
  <si>
    <t>MATRICULE</t>
  </si>
  <si>
    <t>STRING</t>
  </si>
  <si>
    <t>PK, NOT NULL</t>
  </si>
  <si>
    <t>Identifiant unique de l'acteur (matricule)</t>
  </si>
  <si>
    <t>NOM</t>
  </si>
  <si>
    <t>NOT NULL</t>
  </si>
  <si>
    <t>Nom de l'acteur</t>
  </si>
  <si>
    <t>PRENOM</t>
  </si>
  <si>
    <t>Prénom de l'acteur</t>
  </si>
  <si>
    <t>FONCTION</t>
  </si>
  <si>
    <t>NULL</t>
  </si>
  <si>
    <t>Métier réel de l'agent, distinct du rôle applicatif (porté par ROLE)</t>
  </si>
  <si>
    <t>ID_CELLULE</t>
  </si>
  <si>
    <t>NUM</t>
  </si>
  <si>
    <t>FK → CELLULE, NOT NULL</t>
  </si>
  <si>
    <t>Cellule de rattachement ; service et direction déduits par remontée</t>
  </si>
  <si>
    <t>Table CONTACT — contacts d'un fournisseur</t>
  </si>
  <si>
    <t>ID_CONTACT</t>
  </si>
  <si>
    <t>Identifiant technique auto</t>
  </si>
  <si>
    <t>ID_FOURNISSEUR</t>
  </si>
  <si>
    <t>FK → FOURNISSEUR, NOT NULL</t>
  </si>
  <si>
    <t>Fournisseur rattaché (un fournisseur peut avoir 0..N contacts)</t>
  </si>
  <si>
    <t>Converti en majuscules</t>
  </si>
  <si>
    <t>Format NomPropre</t>
  </si>
  <si>
    <t>MAIL</t>
  </si>
  <si>
    <t>Avec validation de cohérence de l'adresse</t>
  </si>
  <si>
    <t>TELFIXE</t>
  </si>
  <si>
    <t>Numérique ; signe + en tête si indicatif (STRING pour préserver +/0)</t>
  </si>
  <si>
    <t>TELMOBILE</t>
  </si>
  <si>
    <t>Numérique ; signe + en tête si indicatif</t>
  </si>
  <si>
    <t>Libre (redondance apparente avec NATUREFONCTION — à confirmer)</t>
  </si>
  <si>
    <t>NATUREFONCTION</t>
  </si>
  <si>
    <t>NULL, CHECK ∈ liste</t>
  </si>
  <si>
    <t>Liste : DIRIGEANT, JURIDIQUE, COMMERCIAL, RESPONSABLE D'AFFAIRE, RESPONSABLE TECHNIQUE, TECHNICIEN, RESPONSABLE FINANCIER/COMPTABILITE</t>
  </si>
  <si>
    <t>Table ROLE — rôles applicatifs (historisés)</t>
  </si>
  <si>
    <t>ID_ROLE</t>
  </si>
  <si>
    <t>FK → ACTEUR, NOT NULL</t>
  </si>
  <si>
    <t>Acteur titulaire du rôle (cumul de rôles possible)</t>
  </si>
  <si>
    <t>TYPE_ROLE</t>
  </si>
  <si>
    <t>NOT NULL, CHECK ∈ {RC, CDS, DS, CB, ADMIN_SERVICE, ADMIN_APP}</t>
  </si>
  <si>
    <t>Rôle applicatif ou d'administration (ADMIN_SERVICE : gestion locale au service ; ADMIN_APP : transverse)</t>
  </si>
  <si>
    <t>FK → CELLULE, NULL</t>
  </si>
  <si>
    <t>Périmètre si RC (cf. CHECK cohérence)</t>
  </si>
  <si>
    <t>ID_SERVICE</t>
  </si>
  <si>
    <t>FK → SERVICE, NULL</t>
  </si>
  <si>
    <t>Périmètre si CDS, CB ou ADMIN_SERVICE (au niveau service)</t>
  </si>
  <si>
    <t>ID_DIRECTION</t>
  </si>
  <si>
    <t>FK → DIRECTION, NULL</t>
  </si>
  <si>
    <t>Périmètre si DS</t>
  </si>
  <si>
    <t>DATE_DEBUT</t>
  </si>
  <si>
    <t>DATE</t>
  </si>
  <si>
    <t>Début de validité du rôle (ajout arbitrage : historique des titulaires)</t>
  </si>
  <si>
    <t>DATE_FIN</t>
  </si>
  <si>
    <t>Fin de validité (NULL = en cours)</t>
  </si>
  <si>
    <t>ACTIF</t>
  </si>
  <si>
    <t>BOOLEAN</t>
  </si>
  <si>
    <t>Rôle actif ; porte l'unicité RC/CDS/DS par périmètre</t>
  </si>
  <si>
    <t>Contraintes de table &amp; règles de gestion</t>
  </si>
  <si>
    <t>•  CHECK cohérence périmètre/type : RC→ID_CELLULE seul ; CDS/CB/ADMIN_SERVICE→ID_SERVICE seul ; DS→ID_DIRECTION seul ; ADMIN_APP→aucun périmètre (transverse).</t>
  </si>
  <si>
    <t>•  UNIQUE (ID_CELLULE) WHERE TYPE_ROLE='RC' AND ACTIF=true ; idem ID_SERVICE/CDS, ID_DIRECTION/DS. CB, ADMIN_SERVICE, ADMIN_APP : pas d'unicité (plusieurs possibles).</t>
  </si>
  <si>
    <t>•  CHECK (DATE_FIN IS NULL OR DATE_FIN &gt;= DATE_DEBUT).</t>
  </si>
  <si>
    <t>Table SUPPLEANCE — suppléance d'un rôle</t>
  </si>
  <si>
    <t>ID_SUPPLEANCE</t>
  </si>
  <si>
    <t>FK → ROLE, NOT NULL</t>
  </si>
  <si>
    <t>Rôle du titulaire suppléé (RC, CDS ou DS ; pas CB)</t>
  </si>
  <si>
    <t>MATRICULE_SUPPLEANT</t>
  </si>
  <si>
    <t>Acteur suppléant ; doit détenir un ROLE actif de même TYPE_ROLE (règle applicative)</t>
  </si>
  <si>
    <t>Début de la période de suppléance</t>
  </si>
  <si>
    <t>Fin de la période. CHECK (DATE_FIN &gt;= DATE_DEBUT)</t>
  </si>
  <si>
    <t>Table DEVIS_CONSULTE — devis (uniquement HORS_MARCHE)</t>
  </si>
  <si>
    <t>ID_DEVIS</t>
  </si>
  <si>
    <t>NUMERO</t>
  </si>
  <si>
    <t>FK → DEMANDE_ACHAT, NOT NULL</t>
  </si>
  <si>
    <t>Demande rattachée. Devis existants uniquement si PROCEDURE_ACHAT = HORS_MARCHE</t>
  </si>
  <si>
    <t>Fournisseur émetteur du devis</t>
  </si>
  <si>
    <t>MONTANT_DEVIS</t>
  </si>
  <si>
    <t>Montant du devis</t>
  </si>
  <si>
    <t>FICHIER_PDF</t>
  </si>
  <si>
    <t>Référence/chemin du PDF (10 Mo max)</t>
  </si>
  <si>
    <t>RETENU</t>
  </si>
  <si>
    <t>Un seul RETENU = vrai par demande : UNIQUE (NUMERO) WHERE RETENU=true</t>
  </si>
  <si>
    <t>Table PIECE_JOINTE — pièces jointes (DA ou CSF)</t>
  </si>
  <si>
    <t>ID_PIECE</t>
  </si>
  <si>
    <t>FK → DEMANDE_ACHAT, NULL</t>
  </si>
  <si>
    <t>Rattachement à une DA (exclusif avec NUMERO_CSF)</t>
  </si>
  <si>
    <t>NUMERO_CSF</t>
  </si>
  <si>
    <t>FK → CERTIFICAT_SERVICE_FAIT, NULL</t>
  </si>
  <si>
    <t>Rattachement à un CSF (Phase 2) — exclusif avec NUMERO</t>
  </si>
  <si>
    <t>TYPE_PIECE</t>
  </si>
  <si>
    <t>devis, notice technique, plan, PV de réception, bon de livraison, FICHE_FAD (fiche récapitulative générée), etc.</t>
  </si>
  <si>
    <t>ORIGINE</t>
  </si>
  <si>
    <t>NOT NULL, CHECK ∈ {UTILISATEUR, SYSTEME}</t>
  </si>
  <si>
    <t>UTILISATEUR = déposée par un agent ; SYSTEME = générée par l'application (ex. fiche FAD), non supprimable par l'utilisateur</t>
  </si>
  <si>
    <t>FICHIER</t>
  </si>
  <si>
    <t>Référence/chemin du fichier (PDF, 10 Mo max)</t>
  </si>
  <si>
    <t>NOM_FICHIER</t>
  </si>
  <si>
    <t>Nom d'origine du fichier</t>
  </si>
  <si>
    <t>•  CHECK rattachement exclusif : (NUMERO IS NOT NULL) &lt;&gt; (NUMERO_CSF IS NOT NULL) — une pièce est liée soit à une DA, soit à un CSF.</t>
  </si>
  <si>
    <t>•  Côté CSF : au moins une PIECE_JOINTE requise à la transmission au RC (R5). La facture fournisseur n'est pas stockée ici (reste dans le PGI — D8).</t>
  </si>
  <si>
    <t>•  Fiche récapitulative FAD : générée automatiquement à l'autorisation de commande (FAD_VALIDEE_DS ou exemption DS), ORIGINE=SYSTEME, TYPE_PIECE=FICHE_FAD, rattachée à la DA, non supprimable par l'utilisateur.</t>
  </si>
  <si>
    <t>Table STATUT — référentiel des statuts DA/FAD</t>
  </si>
  <si>
    <t>CODE_STATUT</t>
  </si>
  <si>
    <t>Valeurs (refonte 06/09/2026, cf. MCD §1/§8 et MLD §2.5) : DA_EN_PREPARATION, DA_TRANSMISE_RC, DA_A_COMPLETER, DA_VALIDEE_RC, DA_REJETEE_RC, DA_ANNULEE_RC, FAD_TRANSMISE_CDS, FAD_A_COMPLETER, FAD_VALIDEE_CDS, FAD_REJETEE_CDS, FAD_ANNULEE_CDS, FAD_TRANSMISE_CB, FAD_A_MODIFIER, FAD_VALIDEE_CB, FAD_REJETEE_CB, FAD_TRANSMISE_DS, FAD_VALIDEE_DS_SEUIL, FAD_VALIDEE_DS, FAD_REJETEE_DS, FAD_ANNULEE_DS, FAD_COMMANDEE, FAD_CLOTUREE. Rejete &lt;&gt; Annule (achat non pertinent vs opportunite caduque) ; la CB n'a pas d'Annule (jugement budgetaire/comptable uniquement). Les statuts *_A_COMPLETER / *_A_MODIFIER sont des reprises en place, sans duplication.</t>
  </si>
  <si>
    <t>LIBELLE</t>
  </si>
  <si>
    <t>Libellé du statut</t>
  </si>
  <si>
    <t>COMMENTAIRE</t>
  </si>
  <si>
    <t>Description / règle associée</t>
  </si>
  <si>
    <t>Table HISTORIQUE_STATUT — traçabilité DA/FAD</t>
  </si>
  <si>
    <t>ID_HISTO</t>
  </si>
  <si>
    <t>Demande concernée</t>
  </si>
  <si>
    <t>FK → STATUT, NOT NULL</t>
  </si>
  <si>
    <t>Statut atteint</t>
  </si>
  <si>
    <t>MATRICULE_ACTEUR</t>
  </si>
  <si>
    <t>Acteur ayant réalisé le changement (identité réelle)</t>
  </si>
  <si>
    <t>FK → SUPPLEANCE, NULL</t>
  </si>
  <si>
    <t>Renseigné si l'action a été faite en suppléance</t>
  </si>
  <si>
    <t>DATE_HEURE</t>
  </si>
  <si>
    <t>DATETIME</t>
  </si>
  <si>
    <t>Horodatage du changement</t>
  </si>
  <si>
    <t>COMMENTAIRE_MOTIF</t>
  </si>
  <si>
    <t>Motif, notamment en cas de rejet</t>
  </si>
  <si>
    <t>Table CERTIFICAT_SERVICE_FAIT (CSF) — Phase 2</t>
  </si>
  <si>
    <t>Phase 2</t>
  </si>
  <si>
    <t>FAD rattachée ; création possible seulement si FAD au statut FAD_COMMANDEE (R1)</t>
  </si>
  <si>
    <t>MATRICULE_REDACTEUR</t>
  </si>
  <si>
    <t>Rédacteur : demandeur initial de la DA, ou RC (rôle RC actif) de la cellule de ce demandeur (R3)</t>
  </si>
  <si>
    <t>DATE_CREATION</t>
  </si>
  <si>
    <t>Date de création du CSF</t>
  </si>
  <si>
    <t>DATE_SERVICE_FAIT</t>
  </si>
  <si>
    <t>Date de constatation de la prestation</t>
  </si>
  <si>
    <t>MONTANT_CSF</t>
  </si>
  <si>
    <t>Montant constaté (partiel possible). Dépassement du cumul vs MONTANT_COMMANDE = alerte, non bloquant (R2)</t>
  </si>
  <si>
    <t>DESCRIPTION</t>
  </si>
  <si>
    <t>Justification / description du service fait (niveau global FAD, sans lignes ni quantités — D2)</t>
  </si>
  <si>
    <t>CODE_STATUT_CSF</t>
  </si>
  <si>
    <t>FK → STATUT_CSF, NOT NULL</t>
  </si>
  <si>
    <t>Statut courant (dénormalisé ; autorité = HISTORIQUE_STATUT_CSF)</t>
  </si>
  <si>
    <t>•  Une FAD peut donner lieu à 0..N CSF ; FAD_CLOTUREE = plus de CSF attendu (D1).</t>
  </si>
  <si>
    <t>•  ≥ 1 justificatif (PIECE_JOINTE) requis pour transmettre au RC (R5). Modification/suppression physique uniquement en statut rejeté ; reprise après rejet Budget ouverte au rédacteur et au RC (R4).</t>
  </si>
  <si>
    <t>•  Cycle : élaboration → RC (rejet/transmission) → CB (validation/rejet) → paiement PGI → CSF_LIQUIDE (terminal). La facture n'est pas stockée dans l'application (D8).</t>
  </si>
  <si>
    <t>Table STATUT_CSF — référentiel des statuts CSF — Phase 2</t>
  </si>
  <si>
    <t>Valeurs : CSF_A_TRAITER, CSF_REJETE_RC, CSF_TRANSMIS_BUDGET, CSF_VALIDE_BUDGET, CSF_REJETE_BUDGET, CSF_LIQUIDE</t>
  </si>
  <si>
    <t>•  CSF_VALIDE_BUDGET déclenche le paiement fournisseur dans le PGI ; CSF_LIQUIDE (terminal) = facture liquidée dans le PGI, positionné manuellement par la CB, verrouille le CSF (D8/R6).</t>
  </si>
  <si>
    <t>Table HISTORIQUE_STATUT_CSF — traçabilité CSF — Phase 2 (provisoire)</t>
  </si>
  <si>
    <t>ID_HISTO_CSF</t>
  </si>
  <si>
    <t>FK → CERTIFICAT_SERVICE_FAIT, NOT NULL</t>
  </si>
  <si>
    <t>CSF concerné</t>
  </si>
  <si>
    <t>Acteur ayant agi (RC ou CB)</t>
  </si>
  <si>
    <t>Renseigné si action en suppléance (RC)</t>
  </si>
  <si>
    <t>Motif, notamment en cas de rejet RC / Budget</t>
  </si>
  <si>
    <t>•  Réutilise ACTEUR / ROLE / SUPPLEANCE de la Phase 1. Trace le circuit CSF (rejets RC / Budget inclus).</t>
  </si>
  <si>
    <t>Table DIRECTION — référentiel organisationnel</t>
  </si>
  <si>
    <t/>
  </si>
  <si>
    <t>Identifiant technique (clé de substitution, auto-incrément) — immuable</t>
  </si>
  <si>
    <t>CODE_DIRECTION</t>
  </si>
  <si>
    <t>NOT NULL, UNIQUE</t>
  </si>
  <si>
    <t>Code métier de la direction (mutable en cas de réorganisation)</t>
  </si>
  <si>
    <t>LIBELLE_DIRECTION</t>
  </si>
  <si>
    <t>Libellé de la direction</t>
  </si>
  <si>
    <t>Défaut TRUE — désactivation/archivage, jamais de suppression physique (ajout 28/08/2026)</t>
  </si>
  <si>
    <t>Table SERVICE — référentiel organisationnel</t>
  </si>
  <si>
    <t>Identifiant technique (clé de substitution, auto) — immuable</t>
  </si>
  <si>
    <t>CODE_SERVICE</t>
  </si>
  <si>
    <t>Code métier du service (mutable en cas de réorganisation)</t>
  </si>
  <si>
    <t>LIBELLE_SERVICE</t>
  </si>
  <si>
    <t>Libellé du service</t>
  </si>
  <si>
    <t>FK → DIRECTION, NOT NULL</t>
  </si>
  <si>
    <t>Direction de rattachement (un service relève d'une seule direction)</t>
  </si>
  <si>
    <t>Table CELLULE — référentiel organisationnel</t>
  </si>
  <si>
    <t>CODE_CELLULE</t>
  </si>
  <si>
    <t>Code métier de la cellule (mutable en cas de réorganisation)</t>
  </si>
  <si>
    <t>LIBELLE_CELLULE</t>
  </si>
  <si>
    <t>Libellé de la cellule</t>
  </si>
  <si>
    <t>FK → SERVICE, NOT NULL</t>
  </si>
  <si>
    <t>Service de rattachement</t>
  </si>
  <si>
    <t>Table CUG — Compte Unitaire de Gestion (analytique)</t>
  </si>
  <si>
    <t>CODE_CUG</t>
  </si>
  <si>
    <t>Code du CUG (à but analytique)</t>
  </si>
  <si>
    <t>LIBELLE_CUG</t>
  </si>
  <si>
    <t>Libellé du CUG</t>
  </si>
  <si>
    <t>Service porteur du CUG (direction déduite du service)</t>
  </si>
  <si>
    <t>Défaut TRUE — désactivation/archivage par flag, comme SITE/SECTEUR/FOURNISSEUR (ajout 29/08/2026)</t>
  </si>
  <si>
    <t>Table SITE — référentiel métier (gisement géographique)</t>
  </si>
  <si>
    <t>CODE_SITE</t>
  </si>
  <si>
    <t>Identifiant du site</t>
  </si>
  <si>
    <t>LIB_SITE</t>
  </si>
  <si>
    <t>Libellé du site (renommé depuis LIBELLE_SITE le 28/08/2026)</t>
  </si>
  <si>
    <t>ORDRE_SITE</t>
  </si>
  <si>
    <t>Ordre d'affichage (ajout 26/08/2026)</t>
  </si>
  <si>
    <t>Service de rattachement — nullable en base tant que non valorisé (ajout 26/08/2026)</t>
  </si>
  <si>
    <t>Défaut TRUE — désactivation/archivage (ajout 28/08/2026)</t>
  </si>
  <si>
    <t>•  Un SITE se décompose en un ou plusieurs SOUS_SITE (voir feuille dédiée) — normalisation du 26/08/2026.</t>
  </si>
  <si>
    <t>Table SOUS_SITE — déclinaison d'un SITE (ajout 26/08/2026)</t>
  </si>
  <si>
    <t>PK (1/2), FK → SITE, NOT NULL</t>
  </si>
  <si>
    <t>Site parent</t>
  </si>
  <si>
    <t>CODE_SOUS_SITE</t>
  </si>
  <si>
    <t>PK (2/2), NOT NULL</t>
  </si>
  <si>
    <t>Composante de la clé composite ; ex. poste, quai</t>
  </si>
  <si>
    <t>LIB_SOUS_SITE</t>
  </si>
  <si>
    <t>Libellé du sous-site (ajout 28/08/2026, affiché par l'IHM à la place du code)</t>
  </si>
  <si>
    <t>ORDRE_SOUS_SITE</t>
  </si>
  <si>
    <t>Ordre d'affichage</t>
  </si>
  <si>
    <t>Défaut TRUE — désactivation/archivage</t>
  </si>
  <si>
    <t>•  DEMANDE_ACHAT référence (CODE_SITE, CODE_SOUS_SITE) en FK composite ; CODE_SOUS_SITE y est optionnel (0,1), CODE_SITE reste obligatoire (28/08/2026).</t>
  </si>
  <si>
    <t>•  Attention MATCH SIMPLE : quand CODE_SOUS_SITE est NULL côté DEMANDE_ACHAT, Postgres ne vérifie plus du tout CODE_SITE contre cette table — la validité de CODE_SITE doit alors être garantie par une règle applicative (voir MLD §2.4).</t>
  </si>
  <si>
    <t>Table SECTEUR — référentiel métier (gisement technique)</t>
  </si>
  <si>
    <t>CODE_SECTEUR</t>
  </si>
  <si>
    <t>Identifiant du secteur</t>
  </si>
  <si>
    <t>LIB_SECTEUR</t>
  </si>
  <si>
    <t>Libellé du secteur (renommé depuis LIBELLE_SECTEUR le 28/08/2026, usage BI, indépendant du site)</t>
  </si>
  <si>
    <t>ORDRE_SECTEUR</t>
  </si>
  <si>
    <t>•  Un SECTEUR se décompose en un ou plusieurs SOUS_SECTEUR (voir feuille dédiée) — normalisation du 26/08/2026.</t>
  </si>
  <si>
    <t>Table SOUS_SECTEUR — déclinaison d'un SECTEUR (ajout 26/08/2026)</t>
  </si>
  <si>
    <t>PK (1/2), FK → SECTEUR, NOT NULL</t>
  </si>
  <si>
    <t>Secteur parent</t>
  </si>
  <si>
    <t>CODE_SOUS_SECTEUR</t>
  </si>
  <si>
    <t>Composante de la clé composite</t>
  </si>
  <si>
    <t>LIB_SOUS_SECTEUR</t>
  </si>
  <si>
    <t>Libellé du sous-secteur (ajout 28/08/2026, affiché par l'IHM à la place du code)</t>
  </si>
  <si>
    <t>ORDRE_SOUS_SECTEUR</t>
  </si>
  <si>
    <t>•  DEMANDE_ACHAT référence (CODE_SECTEUR, CODE_SOUS_SECTEUR) en FK composite ; CODE_SOUS_SECTEUR y est optionnel (0,1), CODE_SECTEUR reste obligatoire (28/08/2026).</t>
  </si>
  <si>
    <t>•  Même mise en garde MATCH SIMPLE que SOUS_SITE (voir cette feuille).</t>
  </si>
  <si>
    <t>Table FOURNISSEUR — référentiel autonome par service</t>
  </si>
  <si>
    <t>Identifiant technique (clé de substitution, auto-incrément)</t>
  </si>
  <si>
    <t>Service créateur, ou service ayant lancé l'import ayant créé la fiche</t>
  </si>
  <si>
    <t>ETATFOURNISSEUR</t>
  </si>
  <si>
    <t>NOT NULL, CHECK ∈ {Actif, Inactif}</t>
  </si>
  <si>
    <t>Désactivation/archivage, jamais de suppression physique sauf cas non référencé (voir contrainte ci-dessous)</t>
  </si>
  <si>
    <t>RAISON_SOCIALE_PGI</t>
  </si>
  <si>
    <t>Manuel si créé par le service ; = libellé d'import si créé lors d'un import de marchés</t>
  </si>
  <si>
    <t>RAISON_SOCIALE_SERVICE</t>
  </si>
  <si>
    <t>Libellé métier interne ; initialisé = RAISON_SOCIALE_PGI à l'import, modifiable ensuite par le service</t>
  </si>
  <si>
    <t>SIREN</t>
  </si>
  <si>
    <t>NULL si TYPE_CREATION=PGI, NOT NULL sinon ; CHECK Luhn si renseigné</t>
  </si>
  <si>
    <t>Renommé depuis SIRET le 29/08/2026 — c'est l'identifiant entreprise (9 chiffres), pas l'établissement (14 chiffres, SIRET). Nullable pour un fournisseur auto-créé par import (30/08/2026, aucun SIREN dans le fichier marchés)</t>
  </si>
  <si>
    <t>NUMPGI</t>
  </si>
  <si>
    <t>N° fournisseur PGI ; clé de rapprochement avec MARCHE.NUM_TITULAIRE</t>
  </si>
  <si>
    <t>ADR1</t>
  </si>
  <si>
    <t>Adresse ligne 1</t>
  </si>
  <si>
    <t>ADR2</t>
  </si>
  <si>
    <t>Adresse ligne 2 (champ ADR1 dupliqué dans la feuille source — hypothèse ADR2 à confirmer)</t>
  </si>
  <si>
    <t>CP</t>
  </si>
  <si>
    <t>Code postal (STRING pour préserver les zéros initiaux)</t>
  </si>
  <si>
    <t>VILLE</t>
  </si>
  <si>
    <t>Saisie en majuscules</t>
  </si>
  <si>
    <t>CEDEX</t>
  </si>
  <si>
    <t>Numérique et majuscule</t>
  </si>
  <si>
    <t>TYPE_CREATION</t>
  </si>
  <si>
    <t>NOT NULL, CHECK ∈ {PGI, SERVICE}</t>
  </si>
  <si>
    <t>Origine : PGI = auto-créé à l'import ; SERVICE = saisi par un acteur du service</t>
  </si>
  <si>
    <t>•  Contrainte de table réelle : UNIQUE (ID_SERVICE, SIREN) — clé métier, portée par l'ID de service (immuable). Existe désormais en base (vérifié le 06/09/2026 ; le MCD la donnait jusqu'ici comme non appliquée physiquement).</t>
  </si>
  <si>
    <t>•  UNIQUE (ID_SERVICE, NUMPGI) évoquée pour fiabiliser le rapprochement à l'import : non retrouvée comme contrainte physique en base au 06/09/2026 — à vérifier avant de s'y fier.</t>
  </si>
  <si>
    <t>Table MARCHE — référentiel marchés (import PGI)</t>
  </si>
  <si>
    <t>NUMMARCHE</t>
  </si>
  <si>
    <t>N° de marché ; clé de rapprochement à l'import. Préfixes hétérogènes (M/P/S) admis sans traitement</t>
  </si>
  <si>
    <t>Remplace ETATMARCHE (renommage 30/08/2026, défaut TRUE). Un marché TYPE_CREATION=PGI absent du fichier importé passe à FALSE ; jamais un marché créé manuellement</t>
  </si>
  <si>
    <t>COMPLETUDE</t>
  </si>
  <si>
    <t>Défaut FALSE. Recalculée automatiquement par l'application dès que TYPEDECOMPOPRIX/NATUREPRESTA/AGENTGESTION/TITULAIRE_SERVICE/PLANPREVENTIONACTIF/ALERTEMT/ALERTEDATE sont tous renseignés — ajout 30/08/2026</t>
  </si>
  <si>
    <t>NOT NULL, CHECK ∈ {SERVICE, AUTRE, PGI}</t>
  </si>
  <si>
    <t>PGI = auto-créé à l'import (valeur omise par erreur dans ce dictionnaire jusqu'au 06/09/2026) ; SERVICE = création manuelle ; AUTRE = marché d'un autre service</t>
  </si>
  <si>
    <t>TYPEPROC</t>
  </si>
  <si>
    <t>Type de procédure (vide à l'import)</t>
  </si>
  <si>
    <t>TYPEDECOMPOPRIX</t>
  </si>
  <si>
    <t>Type de décomposition de prix (vide à l'import)</t>
  </si>
  <si>
    <t>NATUREPRESTA</t>
  </si>
  <si>
    <t>Nature de prestation (vide à l'import)</t>
  </si>
  <si>
    <t>LIBPGI</t>
  </si>
  <si>
    <t>Libellé de marché issu du PGI</t>
  </si>
  <si>
    <t>Libellé métier ; initialisé = LIBPGI puis maintenu séparément (peut diverger)</t>
  </si>
  <si>
    <t>TITULAIRE</t>
  </si>
  <si>
    <t>Nom du titulaire (descriptif PGI)</t>
  </si>
  <si>
    <t>NUM_TITULAIRE</t>
  </si>
  <si>
    <t>N° fournisseur PGI ; = FOURNISSEUR.NUMPGI (clé de rapprochement)</t>
  </si>
  <si>
    <t>TITULAIRE_SERVICE</t>
  </si>
  <si>
    <t>Libellé métier ; initialisé = TITULAIRE puis maintenu séparément</t>
  </si>
  <si>
    <t>AGENTGESTION</t>
  </si>
  <si>
    <t>Agent de gestion (vide à l'import)</t>
  </si>
  <si>
    <t>FK → CUG, NOT NULL</t>
  </si>
  <si>
    <t>CUG de gestion (CUGGestion)</t>
  </si>
  <si>
    <t>DTENOTIF</t>
  </si>
  <si>
    <t>Date de notification</t>
  </si>
  <si>
    <t>DTEVALID</t>
  </si>
  <si>
    <t>Date de validation</t>
  </si>
  <si>
    <t>DTEDEBUT</t>
  </si>
  <si>
    <t>Date de début</t>
  </si>
  <si>
    <t>DTEFINMAX</t>
  </si>
  <si>
    <t>Date de fin maximale</t>
  </si>
  <si>
    <t>MTMINI</t>
  </si>
  <si>
    <t>Montant minimum (initialisé à 0)</t>
  </si>
  <si>
    <t>MTMAXI</t>
  </si>
  <si>
    <t>Montant maximum autorisé</t>
  </si>
  <si>
    <t>ALERTEMT</t>
  </si>
  <si>
    <t>Seuil d'alerte montant, en pourcentage de MTMAXI (pas un montant brut)</t>
  </si>
  <si>
    <t>ALERTEDATE</t>
  </si>
  <si>
    <t>Seuil d'alerte date, en pourcentage de la durée écoulée entre DTEDEBUT/DTEFINMAX (pas une date calendaire)</t>
  </si>
  <si>
    <t>LASTMTREALISE</t>
  </si>
  <si>
    <t>Montant réalisé (PGI)</t>
  </si>
  <si>
    <t>LASTMTENGAGE</t>
  </si>
  <si>
    <t>Cumul des engagements (PGI)</t>
  </si>
  <si>
    <t>DTELASTSOLDE</t>
  </si>
  <si>
    <t>Date du dernier solde connu</t>
  </si>
  <si>
    <t>DTELASTIMPORT</t>
  </si>
  <si>
    <t>Date du dernier import PGI ayant créé/modifié ce marché (ajout 29/08/2026) — distinct du paramètre applicatif last.import.marche.pgi (portée par service)</t>
  </si>
  <si>
    <t>PLANPREVENTIONACTIF</t>
  </si>
  <si>
    <t>Renseigné manuellement après import (texte, pas booléen depuis le 29/08/2026)</t>
  </si>
  <si>
    <t>FK → FOURNISSEUR, NULL</t>
  </si>
  <si>
    <t>Titulaire. Nullable en base ; obligatoire par règle applicative après consolidation de l'import</t>
  </si>
  <si>
    <t>MT_SOLDE</t>
  </si>
  <si>
    <t>CALCULÉ (non stocké)</t>
  </si>
  <si>
    <t>Colonne calculée / vue : MTMAXI − (LASTMTREALISE + LASTMTENGAGE)</t>
  </si>
  <si>
    <t>UTILISABLE</t>
  </si>
  <si>
    <t>CALCULÉ (colonne générée)</t>
  </si>
  <si>
    <t>= ACTIF ET COMPLETUDE — seuls les marchés UTILISABLE sont proposables à une demande d'achat (ajout 30/08/2026)</t>
  </si>
  <si>
    <t>Table SEUIL_VALIDATION_DS — seuils d'exemption DS par service</t>
  </si>
  <si>
    <t>PK, NOT NULL, FK → SERVICE</t>
  </si>
  <si>
    <t>Au plus une ligne par service (simplification du 28/08/2026, remplace l'ancien modèle historisé ID_SEUIL/TYPE_IMPUTATION/MONTANT_SEUIL/DATE_APPLICATION)</t>
  </si>
  <si>
    <t>SEUIL_FONCTIONNEMENT</t>
  </si>
  <si>
    <t>Défaut 0. Seuil sous lequel la validation DS n'est pas requise, imputation FONCTIONNEMENT</t>
  </si>
  <si>
    <t>SEUIL_INVESTISSEMENT</t>
  </si>
  <si>
    <t>Défaut 0. Idem, imputation INVESTISSEMENT</t>
  </si>
  <si>
    <t>•  Un service sans ligne est traité comme SEUIL_FONCTIONNEMENT = SEUIL_INVESTISSEMENT = 0 (convention — jamais une valeur NULL à interpréter).</t>
  </si>
  <si>
    <t>•  Écriture ouverte à ADMIN_APP (transverse) ou ADMIN_SERVICE (son propre service) — décision du 29/08/2026 ; ce n'est plus un droit du DS par direction, comme envisagé initialement.</t>
  </si>
  <si>
    <t>Table DEMANDE_ACHAT — cycle DA → FAD (un seul numéro)</t>
  </si>
  <si>
    <t>Format AAAA-MM-JJ-XXX, séquence par service. Numéro unique DA puis FAD</t>
  </si>
  <si>
    <t>OBJET</t>
  </si>
  <si>
    <t>Libre, 80 caractères max (paramétrable)</t>
  </si>
  <si>
    <t>Libre, 256 caractères max (paramétrable)</t>
  </si>
  <si>
    <t>MONTANT_DEMANDE</t>
  </si>
  <si>
    <t>Montant initial saisi par le Demandeur (conservé distinctement)</t>
  </si>
  <si>
    <t>IMPUTATION_COMPTABLE</t>
  </si>
  <si>
    <t>NOT NULL, CHECK ∈ {FONCTIONNEMENT, INVESTISSEMENT}</t>
  </si>
  <si>
    <t>Toujours renseigné</t>
  </si>
  <si>
    <t>PROCEDURE_ACHAT</t>
  </si>
  <si>
    <t>NOT NULL, CHECK ∈ {MARCHE, HORS_MARCHE}</t>
  </si>
  <si>
    <t>Détermine la gestion des devis</t>
  </si>
  <si>
    <t>TYPE_ACHAT</t>
  </si>
  <si>
    <t>NULL, CHECK ∈ {TRAVAUX, FOURNITURES, SERVICES}</t>
  </si>
  <si>
    <t>Usage BI (finances), sans impact circuit</t>
  </si>
  <si>
    <t>TYPE_FAD</t>
  </si>
  <si>
    <t>NULL, CHECK ∈ {CONTRAT, OUVERTE, FERMEE}</t>
  </si>
  <si>
    <t>Attribué par le RC</t>
  </si>
  <si>
    <t>MOTIF_CHOIX</t>
  </si>
  <si>
    <t>NULL, CHECK ∈ {Prix, Délai, Technique, Autre}</t>
  </si>
  <si>
    <t>Uniquement si HORS_MARCHE</t>
  </si>
  <si>
    <t>LIBELLE_MOTIF_CHOIX</t>
  </si>
  <si>
    <t>Libre, 80 car. ; requis si MOTIF_CHOIX = Autre</t>
  </si>
  <si>
    <t>MONTANT_RETENU</t>
  </si>
  <si>
    <t>Montant du devis retenu. Obligatoire au stade FAD (règle applicative)</t>
  </si>
  <si>
    <t>MONTANT_COMMANDE</t>
  </si>
  <si>
    <t>Saisi par la CB au moment de la commande (peut différer de MONTANT_RETENU)</t>
  </si>
  <si>
    <t>Date de création de la demande</t>
  </si>
  <si>
    <t>MATRICULE_DEMANDEUR</t>
  </si>
  <si>
    <t>Demandeur (rôle sans entité ROLE dédiée)</t>
  </si>
  <si>
    <t>FK composite → SOUS_SITE (1/2), NOT NULL</t>
  </si>
  <si>
    <t>Gisement géographique (saisi par le RC) — obligatoire même si le sous-niveau ne l'est pas (28/08/2026)</t>
  </si>
  <si>
    <t>FK composite → SOUS_SITE (2/2), NULL</t>
  </si>
  <si>
    <t>Sous-niveau optionnel (ex. poste, quai) — ajout 26/08/2026. Attention MATCH SIMPLE : quand NULL, Postgres ne vérifie plus du tout CODE_SITE (voir feuille SOUS_SITE)</t>
  </si>
  <si>
    <t>FK composite → SOUS_SECTEUR (1/2), NOT NULL</t>
  </si>
  <si>
    <t>Gisement technique (saisi par le RC) — obligatoire même si le sous-niveau ne l'est pas</t>
  </si>
  <si>
    <t>FK composite → SOUS_SECTEUR (2/2), NULL</t>
  </si>
  <si>
    <t>Sous-niveau optionnel — ajout 26/08/2026, même mise en garde que CODE_SOUS_SITE</t>
  </si>
  <si>
    <t>Imputation analytique — OBLIGATOIRE en toutes circonstances (arbitrage)</t>
  </si>
  <si>
    <t>NUMERO_OPERATION</t>
  </si>
  <si>
    <t>FK → OPERATION_INVESTISSEMENT, NULL</t>
  </si>
  <si>
    <t>Requis si IMPUTATION_COMPTABLE = INVESTISSEMENT</t>
  </si>
  <si>
    <t>FK → MARCHE, NULL</t>
  </si>
  <si>
    <t>Renseigné si PROCEDURE_ACHAT = MARCHE et marché de type SERVICE (import PGI) — exclusif avec ID_MARCHE_TIERS</t>
  </si>
  <si>
    <t>ID_MARCHE_TIERS</t>
  </si>
  <si>
    <t>FK → MARCHE_TIERS, NULL</t>
  </si>
  <si>
    <t>Ajout 02/09/2026 — alternative à NUMMARCHE pour un marché tiers (référentiel non modélisé dans ce dictionnaire, voir ForClaude/Importation-marches/import-marches-pgi.md §18). Exclusif avec NUMMARCHE</t>
  </si>
  <si>
    <t>ID_FOURNISSEUR_RETENU</t>
  </si>
  <si>
    <t>Fournisseur retenu. Nullable en base ; obligatoire par règle applicative au stade FAD</t>
  </si>
  <si>
    <t>Statut courant (dénormalisé ; autorité = dernier HISTORIQUE_STATUT). 22 valeurs depuis la refonte du 06/09/2026, voir feuille STATUT</t>
  </si>
  <si>
    <t>•  CHECK imputation : (INVESTISSEMENT ⇒ NUMERO_OPERATION NOT NULL) ET (FONCTIONNEMENT ⇒ NUMERO_OPERATION NULL). CODE_CUG toujours NOT NULL.</t>
  </si>
  <si>
    <t>•  CHECK motif : MOTIF_CHOIX &lt;&gt; 'Autre' OU LIBELLE_MOTIF_CHOIX NOT NULL.</t>
  </si>
  <si>
    <t>•  CHECK marché exclusif (ajout 02/09/2026) : NUMMARCHE IS NULL OU ID_MARCHE_TIERS IS NULL — jamais les deux renseignés (les deux peuvent être NULL, ex. HORS_MARCHE).</t>
  </si>
  <si>
    <t>•  Règle applicative : MONTANT_RETENU et ID_FOURNISSEUR_RETENU obligatoires au stade FAD ; MONTANT_COMMANDE saisi par la CB.</t>
  </si>
  <si>
    <t>Table OPERATION_INVESTISSEMENT — référentiel métier (import PGI) — refonte du 06/09/2026</t>
  </si>
  <si>
    <t>Correspond à la colonne Code du fichier PGI (ex. VN000203)</t>
  </si>
  <si>
    <t>Import PGI, colonne Intitule</t>
  </si>
  <si>
    <t>Libellé propre au service — calculé par trigger à la création (préfixe NUMERO_OPERATION retiré de LIBELLE si présent), modifiable ensuite via l'écran, jamais réécrit par un import suivant (ajout 04/09/2026)</t>
  </si>
  <si>
    <t>Service cible de l'import (ajout 03/09/2026)</t>
  </si>
  <si>
    <t>CUG coordinateur (ajout 03/09/2026)</t>
  </si>
  <si>
    <t>STATUT</t>
  </si>
  <si>
    <t>NOT NULL, CHECK ∈ {A, F}</t>
  </si>
  <si>
    <t>Valeur brute PGI ; seules A et F sont éligibles à l'import (ajout 03/09/2026)</t>
  </si>
  <si>
    <t>Défaut TRUE. Champ MANUEL depuis le 04/09/2026 — l'import ne le fixe qu'à la création, ne le modifie plus jamais ensuite (y compris si l'opération sort du lot éligible)</t>
  </si>
  <si>
    <t>Défaut TRUE. Champ manuel indépendant, sans second critère de calcul (à la différence d'UTILISABLE sur MARCHE) — ajout 04/09/2026</t>
  </si>
  <si>
    <t>Non alimentée par l'import (hors mapping des consignes)</t>
  </si>
  <si>
    <t>MT_INITIAL</t>
  </si>
  <si>
    <t>Import PGI, colonne Montant FC</t>
  </si>
  <si>
    <t>MT_TRAVAUX</t>
  </si>
  <si>
    <t>Défaut 0. Import PGI, colonne Montant travaux (ajout 04/09/2026)</t>
  </si>
  <si>
    <t>MT_FESI</t>
  </si>
  <si>
    <t>= MT_INITIAL − MT_TRAVAUX, jamais écrite par l'import (ajout 04/09/2026)</t>
  </si>
  <si>
    <t>MT_BUDGET_AP1</t>
  </si>
  <si>
    <t>Défaut 0. Tranche AP1 — montant budgété</t>
  </si>
  <si>
    <t>MT_ENGAGE_AP1</t>
  </si>
  <si>
    <t>Défaut 0. Tranche AP1 — montant engagé</t>
  </si>
  <si>
    <t>MT_LIQUIDE_AP1</t>
  </si>
  <si>
    <t>Défaut 0. Tranche AP1 — montant réalisé/liquidé</t>
  </si>
  <si>
    <t>MT_SOLDE_AP1</t>
  </si>
  <si>
    <t>Défaut 0. Tranche AP1 — montant disponible</t>
  </si>
  <si>
    <t>MT_BUDGET_AP8</t>
  </si>
  <si>
    <t>Défaut 0. Tranche AP8 — montant budgété</t>
  </si>
  <si>
    <t>MT_ENGAGE_AP8</t>
  </si>
  <si>
    <t>Défaut 0. Tranche AP8 — montant engagé</t>
  </si>
  <si>
    <t>MT_LIQUIDE_AP8</t>
  </si>
  <si>
    <t>Défaut 0. Tranche AP8 — montant réalisé/liquidé</t>
  </si>
  <si>
    <t>MT_SOLDE_AP8</t>
  </si>
  <si>
    <t>Défaut 0. Tranche AP8 — montant disponible</t>
  </si>
  <si>
    <t>MT_BUDGET_CP1</t>
  </si>
  <si>
    <t>Défaut 0. Tranche CP1 — montant budgété</t>
  </si>
  <si>
    <t>MT_ENGAGE_CP1</t>
  </si>
  <si>
    <t>Défaut 0. Tranche CP1 — montant engagé</t>
  </si>
  <si>
    <t>MT_LIQUIDE_CP1</t>
  </si>
  <si>
    <t>Défaut 0. Tranche CP1 — montant réalisé/liquidé</t>
  </si>
  <si>
    <t>MT_SOLDE_CP1</t>
  </si>
  <si>
    <t>Défaut 0. Tranche CP1 — montant disponible</t>
  </si>
  <si>
    <t>MT_BUDGET_CP8</t>
  </si>
  <si>
    <t>Défaut 0. Tranche CP8 — montant budgété</t>
  </si>
  <si>
    <t>MT_ENGAGE_CP8</t>
  </si>
  <si>
    <t>Défaut 0. Tranche CP8 — montant engagé</t>
  </si>
  <si>
    <t>MT_LIQUIDE_CP8</t>
  </si>
  <si>
    <t>Défaut 0. Tranche CP8 — montant réalisé/liquidé</t>
  </si>
  <si>
    <t>MT_SOLDE_CP8</t>
  </si>
  <si>
    <t>Défaut 0. Tranche CP8 — montant disponible</t>
  </si>
  <si>
    <t>•  Remplace le schéma initial (LIBELLE, MT_AP1, MT_AP8, MT_CP1, MT_CP8, DATE_CREATION, MT_INITIAL) — les 4 tranches sont conservées mais chacune détaillée en 4 sous-montants Budget/Engagement/Réel/Disponible plutôt qu'une valeur unique.</t>
  </si>
  <si>
    <t>•  Table alimentée exclusivement par upsert (NUMERO_OPERATION), jamais de suppression — sauf LIBELLE_SERVICE/ACTIF/UTILISABLE, modifiables manuellement par ADMIN_APP/ADMIN_SERVICE/CB.</t>
  </si>
  <si>
    <t>•  Détail complet (décodage des clés AP/CP, jointure OP↔AP/CP, RLS, migrations) : ForClaude/importation-investissementsPGI/import-investissements-pgi.md.</t>
  </si>
  <si>
    <t>Dictionnaire de données — MLD Phases 1 &amp; 2</t>
  </si>
  <si>
    <t>Grand Port Maritime de Marseille — Digitalisation du processus de demande d'achat. Une feuille par table.</t>
  </si>
  <si>
    <t>Légende des colonnes</t>
  </si>
  <si>
    <t>Nom du champ. En gras + bleu marine = clé primaire (PK) ; bleu = clé étrangère (FK) ; italique = champ calculé non stocké.</t>
  </si>
  <si>
    <t>Type logique : STRING, NUM, BOOLEAN, DATE, DATETIME. (DATE/DATETIME ajoutés aux 3 types demandés pour représenter fidèlement dates et horodatages.)</t>
  </si>
  <si>
    <t>PK / FK → TABLE / NOT NULL / NULL / UNIQUE / CHECK. Les contraintes de table (multi-champs) figurent sous chaque table dans un encadré.</t>
  </si>
  <si>
    <t>Précisions métier, règles de gestion, valeurs de listes, points à valider.</t>
  </si>
  <si>
    <t>Note (ajout 06/09/2026) : toutes les tables portent en plus CREATED_AT / UPDATED_AT (horodatage technique de création/modification), non détaillés colonne par colonne dans ce dictionnaire.</t>
  </si>
  <si>
    <t>Liste des tables</t>
  </si>
  <si>
    <t>#</t>
  </si>
  <si>
    <t>TABLE</t>
  </si>
  <si>
    <t>PHASE</t>
  </si>
  <si>
    <t>NB CHAMPS</t>
  </si>
  <si>
    <t>DIRECTION</t>
  </si>
  <si>
    <t>1</t>
  </si>
  <si>
    <t>SERVICE</t>
  </si>
  <si>
    <t>CELLULE</t>
  </si>
  <si>
    <t>ACTEUR</t>
  </si>
  <si>
    <t>SITE</t>
  </si>
  <si>
    <t>SOUS_SITE</t>
  </si>
  <si>
    <t>SECTEUR</t>
  </si>
  <si>
    <t>SOUS_SECTEUR</t>
  </si>
  <si>
    <t>CUG</t>
  </si>
  <si>
    <t>OPERATION_INVESTISSEMENT</t>
  </si>
  <si>
    <t>FOURNISSEUR</t>
  </si>
  <si>
    <t>CONTACT</t>
  </si>
  <si>
    <t>MARCHE</t>
  </si>
  <si>
    <t>ROLE</t>
  </si>
  <si>
    <t>SUPPLEANCE</t>
  </si>
  <si>
    <t>DEMANDE_ACHAT</t>
  </si>
  <si>
    <t>DEVIS_CONSULTE</t>
  </si>
  <si>
    <t>PIECE_JOINTE</t>
  </si>
  <si>
    <t>HISTORIQUE_STATUT</t>
  </si>
  <si>
    <t>SEUIL_VALIDATION_DS</t>
  </si>
  <si>
    <t>CERTIFICAT_SERVICE_FAIT</t>
  </si>
  <si>
    <t>2</t>
  </si>
  <si>
    <t>STATUT_CSF</t>
  </si>
  <si>
    <t>HISTORIQUE_STATUT_CSF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</si>
</sst>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color theme="1"/>
      <family val="2"/>
      <scheme val="minor"/>
      <sz val="11"/>
      <name val="Calibri"/>
    </font>
    <font>
      <b/>
      <color rgb="00FFFFFF"/>
      <sz val="12"/>
      <name val="Arial"/>
    </font>
    <font>
      <i/>
      <color rgb="002E5496"/>
      <sz val="9"/>
      <name val="Arial"/>
    </font>
    <font>
      <b/>
      <color rgb="00FFFFFF"/>
      <sz val="10"/>
      <name val="Arial"/>
    </font>
    <font>
      <b/>
      <color rgb="001F3864"/>
      <sz val="10"/>
      <name val="Arial"/>
    </font>
    <font>
      <b/>
      <color rgb="00808080"/>
      <sz val="10"/>
      <name val="Arial"/>
    </font>
    <font>
      <color rgb="00000000"/>
      <sz val="9"/>
      <name val="Arial"/>
    </font>
    <font>
      <color rgb="00000000"/>
      <sz val="10"/>
      <name val="Arial"/>
    </font>
    <font>
      <color rgb="002E5496"/>
      <sz val="10"/>
      <name val="Arial"/>
    </font>
    <font>
      <b/>
      <color rgb="001F3864"/>
      <sz val="9"/>
      <name val="Arial"/>
    </font>
    <font>
      <i/>
      <color rgb="00C55A11"/>
      <sz val="9"/>
      <name val="Arial"/>
    </font>
    <font>
      <b/>
      <color rgb="00C55A11"/>
      <sz val="9"/>
      <name val="Arial"/>
    </font>
    <font>
      <i/>
      <color rgb="00000000"/>
      <sz val="10"/>
      <name val="Arial"/>
    </font>
    <font>
      <i/>
      <color rgb="00000000"/>
      <sz val="9"/>
      <name val="Arial"/>
    </font>
    <font>
      <b/>
      <color rgb="00FFFFFF"/>
      <sz val="14"/>
      <name val="Arial"/>
    </font>
    <font>
      <b/>
      <color rgb="00808080"/>
      <sz val="9"/>
      <name val="Arial"/>
    </font>
    <font>
      <sz val="9"/>
      <name val="Arial"/>
    </font>
    <font>
      <b/>
      <color rgb="00FFFFFF"/>
      <sz val="9"/>
      <name val="Arial"/>
    </font>
    <font>
      <b/>
      <color rgb="00000000"/>
      <sz val="9"/>
      <name val="Arial"/>
    </font>
  </fonts>
  <fills count="9">
    <fill>
      <patternFill patternType="none"/>
    </fill>
    <fill>
      <patternFill patternType="gray125"/>
    </fill>
    <fill>
      <patternFill patternType="solid">
        <fgColor rgb="001F3864"/>
      </patternFill>
    </fill>
    <fill>
      <patternFill/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55A11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4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horizontal="left" vertical="top" indent="1"/>
    </xf>
    <xf numFmtId="0" fontId="6" fillId="3" borderId="1" xfId="0" applyFont="1" applyFill="1" applyBorder="1" applyAlignment="1">
      <alignment horizontal="left" vertical="top" wrapText="1" indent="1"/>
    </xf>
    <xf numFmtId="0" fontId="7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horizontal="left" vertical="top" indent="1"/>
    </xf>
    <xf numFmtId="0" fontId="6" fillId="5" borderId="1" xfId="0" applyFont="1" applyFill="1" applyBorder="1" applyAlignment="1">
      <alignment horizontal="left" vertical="top" wrapText="1" indent="1"/>
    </xf>
    <xf numFmtId="0" fontId="7" fillId="3" borderId="1" xfId="0" applyFont="1" applyFill="1" applyBorder="1" applyAlignment="1">
      <alignment horizontal="left" vertical="top" indent="1"/>
    </xf>
    <xf numFmtId="0" fontId="8" fillId="3" borderId="1" xfId="0" applyFont="1" applyFill="1" applyBorder="1" applyAlignment="1">
      <alignment horizontal="left" vertical="top" indent="1"/>
    </xf>
    <xf numFmtId="0" fontId="8" fillId="5" borderId="1" xfId="0" applyFont="1" applyFill="1" applyBorder="1" applyAlignment="1">
      <alignment horizontal="left" vertical="top" indent="1"/>
    </xf>
    <xf numFmtId="0" fontId="9" fillId="3" borderId="0" xfId="0" applyFont="1" applyFill="1"/>
    <xf numFmtId="0" fontId="6" fillId="6" borderId="1" xfId="0" applyFont="1" applyFill="1" applyBorder="1" applyAlignment="1">
      <alignment horizontal="left" vertical="top" wrapText="1" indent="1"/>
    </xf>
    <xf numFmtId="0" fontId="1" fillId="7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3" fillId="7" borderId="1" xfId="0" applyFont="1" applyFill="1" applyBorder="1" applyAlignment="1">
      <alignment horizontal="left" vertical="center" indent="1"/>
    </xf>
    <xf numFmtId="0" fontId="8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horizontal="left" vertical="top" indent="1"/>
    </xf>
    <xf numFmtId="0" fontId="6" fillId="8" borderId="1" xfId="0" applyFont="1" applyFill="1" applyBorder="1" applyAlignment="1">
      <alignment horizontal="left" vertical="top" wrapText="1" indent="1"/>
    </xf>
    <xf numFmtId="0" fontId="7" fillId="8" borderId="1" xfId="0" applyFont="1" applyFill="1" applyBorder="1" applyAlignment="1">
      <alignment horizontal="left" vertical="top" indent="1"/>
    </xf>
    <xf numFmtId="0" fontId="11" fillId="3" borderId="0" xfId="0" applyFont="1" applyFill="1"/>
    <xf numFmtId="0" fontId="2" fillId="0" borderId="0" xfId="0" applyFont="1" applyAlignment="1">
      <alignment horizontal="left" vertical="center" indent="1"/>
    </xf>
    <xf numFmtId="0" fontId="4" fillId="0" borderId="1" xfId="0" applyFont="1" applyBorder="1" applyAlignment="1">
      <alignment horizontal="left" vertical="top" indent="1"/>
    </xf>
    <xf numFmtId="0" fontId="5" fillId="0" borderId="1" xfId="0" applyFont="1" applyBorder="1" applyAlignment="1">
      <alignment horizontal="left" vertical="top" indent="1"/>
    </xf>
    <xf numFmtId="0" fontId="6" fillId="0" borderId="1" xfId="0" applyFont="1" applyBorder="1" applyAlignment="1">
      <alignment horizontal="left" vertical="top" wrapText="1" indent="1"/>
    </xf>
    <xf numFmtId="0" fontId="7" fillId="0" borderId="1" xfId="0" applyFont="1" applyBorder="1" applyAlignment="1">
      <alignment horizontal="left" vertical="top" indent="1"/>
    </xf>
    <xf numFmtId="0" fontId="8" fillId="0" borderId="1" xfId="0" applyFont="1" applyBorder="1" applyAlignment="1">
      <alignment horizontal="left" vertical="top" indent="1"/>
    </xf>
    <xf numFmtId="0" fontId="9" fillId="0" borderId="0" xfId="0" applyFont="1"/>
    <xf numFmtId="0" fontId="6" fillId="6" borderId="0" xfId="0" applyFont="1" applyFill="1"/>
    <xf numFmtId="0" fontId="4" fillId="5" borderId="1" xfId="0" applyFont="1" applyFill="1" applyBorder="1" applyAlignment="1">
      <alignment horizontal="left" vertical="top" indent="1"/>
    </xf>
    <xf numFmtId="0" fontId="12" fillId="0" borderId="1" xfId="0" applyFont="1" applyBorder="1" applyAlignment="1">
      <alignment horizontal="left" vertical="top" indent="1"/>
    </xf>
    <xf numFmtId="0" fontId="13" fillId="0" borderId="1" xfId="0" applyFont="1" applyBorder="1" applyAlignment="1">
      <alignment horizontal="left" vertical="top" wrapText="1" indent="1"/>
    </xf>
    <xf numFmtId="0" fontId="12" fillId="5" borderId="1" xfId="0" applyFont="1" applyFill="1" applyBorder="1" applyAlignment="1">
      <alignment horizontal="left" vertical="top" indent="1"/>
    </xf>
    <xf numFmtId="0" fontId="13" fillId="5" borderId="1" xfId="0" applyFont="1" applyFill="1" applyBorder="1" applyAlignment="1">
      <alignment horizontal="left" vertical="top" wrapText="1" indent="1"/>
    </xf>
    <xf numFmtId="0" fontId="14" fillId="2" borderId="0" xfId="0" applyFont="1" applyFill="1" applyAlignment="1">
      <alignment horizontal="left" vertical="center" indent="1"/>
    </xf>
    <xf numFmtId="0" fontId="4" fillId="0" borderId="0" xfId="0" applyFont="1"/>
    <xf numFmtId="0" fontId="15" fillId="0" borderId="0" xfId="0" applyFont="1"/>
    <xf numFmtId="0" fontId="16" fillId="0" borderId="0" xfId="0" applyFont="1"/>
    <xf numFmtId="0" fontId="2" fillId="0" borderId="0" xfId="0" applyFont="1"/>
    <xf numFmtId="0" fontId="17" fillId="4" borderId="0" xfId="0" applyFont="1" applyFill="1" applyAlignment="1">
      <alignment horizontal="left" vertical="center" indent="1"/>
    </xf>
    <xf numFmtId="0" fontId="6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3.xml"/><Relationship Id="rId7" Type="http://schemas.openxmlformats.org/officeDocument/2006/relationships/worksheet" Target="worksheets/sheet14.xml"/><Relationship Id="rId8" Type="http://schemas.openxmlformats.org/officeDocument/2006/relationships/worksheet" Target="worksheets/sheet16.xml"/><Relationship Id="rId9" Type="http://schemas.openxmlformats.org/officeDocument/2006/relationships/worksheet" Target="worksheets/sheet17.xml"/><Relationship Id="rId10" Type="http://schemas.openxmlformats.org/officeDocument/2006/relationships/worksheet" Target="worksheets/sheet18.xml"/><Relationship Id="rId11" Type="http://schemas.openxmlformats.org/officeDocument/2006/relationships/worksheet" Target="worksheets/sheet19.xml"/><Relationship Id="rId12" Type="http://schemas.openxmlformats.org/officeDocument/2006/relationships/worksheet" Target="worksheets/sheet21.xml"/><Relationship Id="rId13" Type="http://schemas.openxmlformats.org/officeDocument/2006/relationships/worksheet" Target="worksheets/sheet22.xml"/><Relationship Id="rId14" Type="http://schemas.openxmlformats.org/officeDocument/2006/relationships/worksheet" Target="worksheets/sheet23.xml"/><Relationship Id="rId15" Type="http://schemas.openxmlformats.org/officeDocument/2006/relationships/worksheet" Target="worksheets/sheet2.xml"/><Relationship Id="rId16" Type="http://schemas.openxmlformats.org/officeDocument/2006/relationships/worksheet" Target="worksheets/sheet3.xml"/><Relationship Id="rId17" Type="http://schemas.openxmlformats.org/officeDocument/2006/relationships/worksheet" Target="worksheets/sheet4.xml"/><Relationship Id="rId18" Type="http://schemas.openxmlformats.org/officeDocument/2006/relationships/worksheet" Target="worksheets/sheet8.xml"/><Relationship Id="rId19" Type="http://schemas.openxmlformats.org/officeDocument/2006/relationships/worksheet" Target="worksheets/sheet6.xml"/><Relationship Id="rId20" Type="http://schemas.openxmlformats.org/officeDocument/2006/relationships/worksheet" Target="worksheets/sheet24.xml"/><Relationship Id="rId21" Type="http://schemas.openxmlformats.org/officeDocument/2006/relationships/worksheet" Target="worksheets/sheet7.xml"/><Relationship Id="rId22" Type="http://schemas.openxmlformats.org/officeDocument/2006/relationships/worksheet" Target="worksheets/sheet25.xml"/><Relationship Id="rId23" Type="http://schemas.openxmlformats.org/officeDocument/2006/relationships/worksheet" Target="worksheets/sheet10.xml"/><Relationship Id="rId24" Type="http://schemas.openxmlformats.org/officeDocument/2006/relationships/worksheet" Target="worksheets/sheet12.xml"/><Relationship Id="rId25" Type="http://schemas.openxmlformats.org/officeDocument/2006/relationships/worksheet" Target="worksheets/sheet20.xml"/><Relationship Id="rId26" Type="http://schemas.openxmlformats.org/officeDocument/2006/relationships/worksheet" Target="worksheets/sheet15.xml"/><Relationship Id="rId27" Type="http://schemas.openxmlformats.org/officeDocument/2006/relationships/worksheet" Target="worksheets/sheet9.xml"/><Relationship Id="rId28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FormatPr defaultRowHeight="15" outlineLevelRow="0" outlineLevelCol="0" x14ac:dyDescent="55"/>
  <cols>
    <col min="1" max="1" width="6" customWidth="1"/>
    <col min="2" max="2" width="30" customWidth="1"/>
    <col min="3" max="3" width="10" customWidth="1"/>
    <col min="4" max="4" width="12" customWidth="1"/>
  </cols>
  <sheetData>
    <row r="1" spans="1:4" x14ac:dyDescent="0.25">
      <c r="A1" s="36" t="s">
        <v>436</v>
      </c>
      <c r="B1" s="36" t="s">
        <v>158</v>
      </c>
      <c r="C1" s="36" t="s">
        <v>158</v>
      </c>
      <c r="D1" s="36" t="s">
        <v>158</v>
      </c>
    </row>
    <row r="2" spans="1:4" x14ac:dyDescent="0.25">
      <c r="A2" s="23" t="s">
        <v>437</v>
      </c>
      <c r="B2" t="s">
        <v>158</v>
      </c>
      <c r="C2" t="s">
        <v>158</v>
      </c>
      <c r="D2" t="s">
        <v>158</v>
      </c>
    </row>
    <row r="3" spans="1:4" x14ac:dyDescent="0.25">
      <c r="A3" t="s">
        <v>158</v>
      </c>
      <c r="B3" t="s">
        <v>158</v>
      </c>
      <c r="C3" t="s">
        <v>158</v>
      </c>
      <c r="D3" t="s">
        <v>158</v>
      </c>
    </row>
    <row r="4" spans="1:4" x14ac:dyDescent="0.25">
      <c r="A4" s="37" t="s">
        <v>438</v>
      </c>
      <c r="B4" t="s">
        <v>158</v>
      </c>
      <c r="C4" t="s">
        <v>158</v>
      </c>
      <c r="D4" t="s">
        <v>158</v>
      </c>
    </row>
    <row r="5" spans="1:4" x14ac:dyDescent="0.25">
      <c r="A5" s="38" t="s">
        <v>2</v>
      </c>
      <c r="B5" s="39" t="s">
        <v>439</v>
      </c>
      <c r="C5" t="s">
        <v>158</v>
      </c>
      <c r="D5" t="s">
        <v>158</v>
      </c>
    </row>
    <row r="6" spans="1:4" x14ac:dyDescent="0.25">
      <c r="A6" s="38" t="s">
        <v>3</v>
      </c>
      <c r="B6" s="39" t="s">
        <v>440</v>
      </c>
      <c r="C6" t="s">
        <v>158</v>
      </c>
      <c r="D6" t="s">
        <v>158</v>
      </c>
    </row>
    <row r="7" spans="1:4" x14ac:dyDescent="0.25">
      <c r="A7" s="38" t="s">
        <v>4</v>
      </c>
      <c r="B7" s="39" t="s">
        <v>441</v>
      </c>
      <c r="C7" t="s">
        <v>158</v>
      </c>
      <c r="D7" t="s">
        <v>158</v>
      </c>
    </row>
    <row r="8" spans="1:4" x14ac:dyDescent="0.25">
      <c r="A8" s="38" t="s">
        <v>5</v>
      </c>
      <c r="B8" s="39" t="s">
        <v>442</v>
      </c>
      <c r="C8" t="s">
        <v>158</v>
      </c>
      <c r="D8" t="s">
        <v>158</v>
      </c>
    </row>
    <row r="9" spans="1:4" x14ac:dyDescent="0.25">
      <c r="A9" t="s">
        <v>158</v>
      </c>
      <c r="B9" t="s">
        <v>158</v>
      </c>
      <c r="C9" t="s">
        <v>158</v>
      </c>
      <c r="D9" t="s">
        <v>158</v>
      </c>
    </row>
    <row r="10" spans="1:4" x14ac:dyDescent="0.25">
      <c r="A10" s="40" t="s">
        <v>443</v>
      </c>
      <c r="B10" t="s">
        <v>158</v>
      </c>
      <c r="C10" t="s">
        <v>158</v>
      </c>
      <c r="D10" t="s">
        <v>158</v>
      </c>
    </row>
    <row r="11" spans="1:4" x14ac:dyDescent="0.25">
      <c r="A11" t="s">
        <v>158</v>
      </c>
      <c r="B11" t="s">
        <v>158</v>
      </c>
      <c r="C11" t="s">
        <v>158</v>
      </c>
      <c r="D11" t="s">
        <v>158</v>
      </c>
    </row>
    <row r="12" spans="1:4" x14ac:dyDescent="0.25">
      <c r="A12" s="37" t="s">
        <v>444</v>
      </c>
      <c r="B12" t="s">
        <v>158</v>
      </c>
      <c r="C12" t="s">
        <v>158</v>
      </c>
      <c r="D12" t="s">
        <v>158</v>
      </c>
    </row>
    <row r="13" spans="1:4" x14ac:dyDescent="0.25">
      <c r="A13" s="41" t="s">
        <v>445</v>
      </c>
      <c r="B13" s="41" t="s">
        <v>446</v>
      </c>
      <c r="C13" s="41" t="s">
        <v>447</v>
      </c>
      <c r="D13" s="41" t="s">
        <v>448</v>
      </c>
    </row>
    <row r="14" spans="1:4" x14ac:dyDescent="0.25">
      <c r="A14" s="42">
        <v>1</v>
      </c>
      <c r="B14" s="43" t="s">
        <v>449</v>
      </c>
      <c r="C14" s="42" t="s">
        <v>450</v>
      </c>
      <c r="D14" s="42">
        <v>4</v>
      </c>
    </row>
    <row r="15" spans="1:4" x14ac:dyDescent="0.25">
      <c r="A15" s="42">
        <v>2</v>
      </c>
      <c r="B15" s="43" t="s">
        <v>451</v>
      </c>
      <c r="C15" s="42" t="s">
        <v>450</v>
      </c>
      <c r="D15" s="42">
        <v>5</v>
      </c>
    </row>
    <row r="16" spans="1:4" x14ac:dyDescent="0.25">
      <c r="A16" s="42">
        <v>3</v>
      </c>
      <c r="B16" s="43" t="s">
        <v>452</v>
      </c>
      <c r="C16" s="42" t="s">
        <v>450</v>
      </c>
      <c r="D16" s="42">
        <v>5</v>
      </c>
    </row>
    <row r="17" spans="1:4" x14ac:dyDescent="0.25">
      <c r="A17" s="42">
        <v>4</v>
      </c>
      <c r="B17" s="43" t="s">
        <v>453</v>
      </c>
      <c r="C17" s="42" t="s">
        <v>450</v>
      </c>
      <c r="D17" s="42">
        <v>5</v>
      </c>
    </row>
    <row r="18" spans="1:4" x14ac:dyDescent="0.25">
      <c r="A18" s="42">
        <v>5</v>
      </c>
      <c r="B18" s="43" t="s">
        <v>454</v>
      </c>
      <c r="C18" s="42" t="s">
        <v>450</v>
      </c>
      <c r="D18" s="42">
        <v>5</v>
      </c>
    </row>
    <row r="19" spans="1:4" x14ac:dyDescent="0.25">
      <c r="A19" s="42">
        <v>6</v>
      </c>
      <c r="B19" s="43" t="s">
        <v>455</v>
      </c>
      <c r="C19" s="42" t="s">
        <v>450</v>
      </c>
      <c r="D19" s="42">
        <v>5</v>
      </c>
    </row>
    <row r="20" spans="1:4" x14ac:dyDescent="0.25">
      <c r="A20" s="42">
        <v>7</v>
      </c>
      <c r="B20" s="43" t="s">
        <v>456</v>
      </c>
      <c r="C20" s="42" t="s">
        <v>450</v>
      </c>
      <c r="D20" s="42">
        <v>5</v>
      </c>
    </row>
    <row r="21" spans="1:4" x14ac:dyDescent="0.25">
      <c r="A21" s="42">
        <v>8</v>
      </c>
      <c r="B21" s="43" t="s">
        <v>457</v>
      </c>
      <c r="C21" s="42" t="s">
        <v>450</v>
      </c>
      <c r="D21" s="42">
        <v>5</v>
      </c>
    </row>
    <row r="22" spans="1:4" x14ac:dyDescent="0.25">
      <c r="A22" s="42">
        <v>9</v>
      </c>
      <c r="B22" s="43" t="s">
        <v>458</v>
      </c>
      <c r="C22" s="42" t="s">
        <v>450</v>
      </c>
      <c r="D22" s="42">
        <v>4</v>
      </c>
    </row>
    <row r="23" spans="1:4" x14ac:dyDescent="0.25">
      <c r="A23" s="42">
        <v>10</v>
      </c>
      <c r="B23" s="43" t="s">
        <v>459</v>
      </c>
      <c r="C23" s="42" t="s">
        <v>450</v>
      </c>
      <c r="D23" s="42">
        <v>28</v>
      </c>
    </row>
    <row r="24" spans="1:4" x14ac:dyDescent="0.25">
      <c r="A24" s="42">
        <v>11</v>
      </c>
      <c r="B24" s="43" t="s">
        <v>460</v>
      </c>
      <c r="C24" s="42" t="s">
        <v>450</v>
      </c>
      <c r="D24" s="42">
        <v>13</v>
      </c>
    </row>
    <row r="25" spans="1:4" x14ac:dyDescent="0.25">
      <c r="A25" s="42">
        <v>12</v>
      </c>
      <c r="B25" s="43" t="s">
        <v>461</v>
      </c>
      <c r="C25" s="42" t="s">
        <v>450</v>
      </c>
      <c r="D25" s="42">
        <v>9</v>
      </c>
    </row>
    <row r="26" spans="1:4" x14ac:dyDescent="0.25">
      <c r="A26" s="42">
        <v>13</v>
      </c>
      <c r="B26" s="43" t="s">
        <v>462</v>
      </c>
      <c r="C26" s="42" t="s">
        <v>450</v>
      </c>
      <c r="D26" s="42">
        <v>30</v>
      </c>
    </row>
    <row r="27" spans="1:4" x14ac:dyDescent="0.25">
      <c r="A27" s="42">
        <v>14</v>
      </c>
      <c r="B27" s="43" t="s">
        <v>463</v>
      </c>
      <c r="C27" s="42" t="s">
        <v>450</v>
      </c>
      <c r="D27" s="42">
        <v>9</v>
      </c>
    </row>
    <row r="28" spans="1:4" x14ac:dyDescent="0.25">
      <c r="A28" s="42">
        <v>15</v>
      </c>
      <c r="B28" s="43" t="s">
        <v>464</v>
      </c>
      <c r="C28" s="42" t="s">
        <v>450</v>
      </c>
      <c r="D28" s="42">
        <v>5</v>
      </c>
    </row>
    <row r="29" spans="1:4" x14ac:dyDescent="0.25">
      <c r="A29" s="42">
        <v>16</v>
      </c>
      <c r="B29" s="43" t="s">
        <v>465</v>
      </c>
      <c r="C29" s="42" t="s">
        <v>450</v>
      </c>
      <c r="D29" s="42">
        <v>24</v>
      </c>
    </row>
    <row r="30" spans="1:4" x14ac:dyDescent="0.25">
      <c r="A30" s="42">
        <v>17</v>
      </c>
      <c r="B30" s="43" t="s">
        <v>466</v>
      </c>
      <c r="C30" s="42" t="s">
        <v>450</v>
      </c>
      <c r="D30" s="42">
        <v>6</v>
      </c>
    </row>
    <row r="31" spans="1:4" x14ac:dyDescent="0.25">
      <c r="A31" s="42">
        <v>18</v>
      </c>
      <c r="B31" s="43" t="s">
        <v>467</v>
      </c>
      <c r="C31" s="42" t="s">
        <v>450</v>
      </c>
      <c r="D31" s="42">
        <v>7</v>
      </c>
    </row>
    <row r="32" spans="1:4" x14ac:dyDescent="0.25">
      <c r="A32" s="42">
        <v>19</v>
      </c>
      <c r="B32" s="43" t="s">
        <v>389</v>
      </c>
      <c r="C32" s="42" t="s">
        <v>450</v>
      </c>
      <c r="D32" s="42">
        <v>3</v>
      </c>
    </row>
    <row r="33" spans="1:4" x14ac:dyDescent="0.25">
      <c r="A33" s="42">
        <v>20</v>
      </c>
      <c r="B33" s="43" t="s">
        <v>468</v>
      </c>
      <c r="C33" s="42" t="s">
        <v>450</v>
      </c>
      <c r="D33" s="42">
        <v>7</v>
      </c>
    </row>
    <row r="34" spans="1:4" x14ac:dyDescent="0.25">
      <c r="A34" s="42">
        <v>21</v>
      </c>
      <c r="B34" s="43" t="s">
        <v>469</v>
      </c>
      <c r="C34" s="42" t="s">
        <v>450</v>
      </c>
      <c r="D34" s="42">
        <v>3</v>
      </c>
    </row>
    <row r="35" spans="1:4" x14ac:dyDescent="0.25">
      <c r="A35" s="42">
        <v>22</v>
      </c>
      <c r="B35" s="43" t="s">
        <v>470</v>
      </c>
      <c r="C35" s="42" t="s">
        <v>471</v>
      </c>
      <c r="D35" s="42">
        <v>8</v>
      </c>
    </row>
    <row r="36" spans="1:4" x14ac:dyDescent="0.25">
      <c r="A36" s="42">
        <v>23</v>
      </c>
      <c r="B36" s="43" t="s">
        <v>472</v>
      </c>
      <c r="C36" s="42" t="s">
        <v>471</v>
      </c>
      <c r="D36" s="42">
        <v>3</v>
      </c>
    </row>
    <row r="37" spans="1:4" x14ac:dyDescent="0.25">
      <c r="A37" s="42">
        <v>24</v>
      </c>
      <c r="B37" s="43" t="s">
        <v>473</v>
      </c>
      <c r="C37" s="42" t="s">
        <v>471</v>
      </c>
      <c r="D37" s="42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157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52</v>
      </c>
      <c r="B4" s="25" t="s">
        <v>19</v>
      </c>
      <c r="C4" s="26" t="s">
        <v>8</v>
      </c>
      <c r="D4" s="26" t="s">
        <v>159</v>
      </c>
    </row>
    <row r="5" spans="1:4" x14ac:dyDescent="0.25">
      <c r="A5" s="7" t="s">
        <v>160</v>
      </c>
      <c r="B5" s="8" t="s">
        <v>7</v>
      </c>
      <c r="C5" s="9" t="s">
        <v>161</v>
      </c>
      <c r="D5" s="9" t="s">
        <v>162</v>
      </c>
    </row>
    <row r="6" spans="1:4" x14ac:dyDescent="0.25">
      <c r="A6" s="27" t="s">
        <v>163</v>
      </c>
      <c r="B6" s="25" t="s">
        <v>7</v>
      </c>
      <c r="C6" s="26" t="s">
        <v>11</v>
      </c>
      <c r="D6" s="26" t="s">
        <v>164</v>
      </c>
    </row>
    <row r="7" spans="1:4" x14ac:dyDescent="0.25">
      <c r="A7" s="7" t="s">
        <v>60</v>
      </c>
      <c r="B7" s="8" t="s">
        <v>61</v>
      </c>
      <c r="C7" s="9" t="s">
        <v>11</v>
      </c>
      <c r="D7" s="9" t="s">
        <v>165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166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49</v>
      </c>
      <c r="B4" s="25" t="s">
        <v>19</v>
      </c>
      <c r="C4" s="26" t="s">
        <v>8</v>
      </c>
      <c r="D4" s="26" t="s">
        <v>167</v>
      </c>
    </row>
    <row r="5" spans="1:4" x14ac:dyDescent="0.25">
      <c r="A5" s="7" t="s">
        <v>168</v>
      </c>
      <c r="B5" s="8" t="s">
        <v>7</v>
      </c>
      <c r="C5" s="9" t="s">
        <v>161</v>
      </c>
      <c r="D5" s="9" t="s">
        <v>169</v>
      </c>
    </row>
    <row r="6" spans="1:4" x14ac:dyDescent="0.25">
      <c r="A6" s="27" t="s">
        <v>170</v>
      </c>
      <c r="B6" s="25" t="s">
        <v>7</v>
      </c>
      <c r="C6" s="26" t="s">
        <v>11</v>
      </c>
      <c r="D6" s="26" t="s">
        <v>171</v>
      </c>
    </row>
    <row r="7" spans="1:4" x14ac:dyDescent="0.25">
      <c r="A7" s="12" t="s">
        <v>52</v>
      </c>
      <c r="B7" s="8" t="s">
        <v>19</v>
      </c>
      <c r="C7" s="9" t="s">
        <v>172</v>
      </c>
      <c r="D7" s="9" t="s">
        <v>173</v>
      </c>
    </row>
    <row r="8" spans="1:4" x14ac:dyDescent="0.25">
      <c r="A8" s="27" t="s">
        <v>60</v>
      </c>
      <c r="B8" s="25" t="s">
        <v>61</v>
      </c>
      <c r="C8" s="26" t="s">
        <v>11</v>
      </c>
      <c r="D8" s="26" t="s">
        <v>165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174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18</v>
      </c>
      <c r="B4" s="25" t="s">
        <v>19</v>
      </c>
      <c r="C4" s="26" t="s">
        <v>8</v>
      </c>
      <c r="D4" s="26" t="s">
        <v>167</v>
      </c>
    </row>
    <row r="5" spans="1:4" x14ac:dyDescent="0.25">
      <c r="A5" s="7" t="s">
        <v>175</v>
      </c>
      <c r="B5" s="8" t="s">
        <v>7</v>
      </c>
      <c r="C5" s="9" t="s">
        <v>161</v>
      </c>
      <c r="D5" s="9" t="s">
        <v>176</v>
      </c>
    </row>
    <row r="6" spans="1:4" x14ac:dyDescent="0.25">
      <c r="A6" s="27" t="s">
        <v>177</v>
      </c>
      <c r="B6" s="25" t="s">
        <v>7</v>
      </c>
      <c r="C6" s="26" t="s">
        <v>11</v>
      </c>
      <c r="D6" s="26" t="s">
        <v>178</v>
      </c>
    </row>
    <row r="7" spans="1:4" x14ac:dyDescent="0.25">
      <c r="A7" s="12" t="s">
        <v>49</v>
      </c>
      <c r="B7" s="8" t="s">
        <v>19</v>
      </c>
      <c r="C7" s="9" t="s">
        <v>179</v>
      </c>
      <c r="D7" s="9" t="s">
        <v>180</v>
      </c>
    </row>
    <row r="8" spans="1:4" x14ac:dyDescent="0.25">
      <c r="A8" s="27" t="s">
        <v>60</v>
      </c>
      <c r="B8" s="25" t="s">
        <v>61</v>
      </c>
      <c r="C8" s="26" t="s">
        <v>11</v>
      </c>
      <c r="D8" s="26" t="s">
        <v>165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8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0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6</v>
      </c>
      <c r="B4" s="5" t="s">
        <v>7</v>
      </c>
      <c r="C4" s="6" t="s">
        <v>8</v>
      </c>
      <c r="D4" s="6" t="s">
        <v>9</v>
      </c>
    </row>
    <row r="5" spans="1:4" x14ac:dyDescent="0.25">
      <c r="A5" s="7" t="s">
        <v>10</v>
      </c>
      <c r="B5" s="8" t="s">
        <v>7</v>
      </c>
      <c r="C5" s="9" t="s">
        <v>11</v>
      </c>
      <c r="D5" s="9" t="s">
        <v>12</v>
      </c>
    </row>
    <row r="6" spans="1:4" x14ac:dyDescent="0.25">
      <c r="A6" s="10" t="s">
        <v>13</v>
      </c>
      <c r="B6" s="5" t="s">
        <v>7</v>
      </c>
      <c r="C6" s="6" t="s">
        <v>11</v>
      </c>
      <c r="D6" s="6" t="s">
        <v>14</v>
      </c>
    </row>
    <row r="7" spans="1:4" x14ac:dyDescent="0.25">
      <c r="A7" s="7" t="s">
        <v>15</v>
      </c>
      <c r="B7" s="8" t="s">
        <v>7</v>
      </c>
      <c r="C7" s="9" t="s">
        <v>16</v>
      </c>
      <c r="D7" s="9" t="s">
        <v>17</v>
      </c>
    </row>
    <row r="8" spans="1:4" x14ac:dyDescent="0.25">
      <c r="A8" s="11" t="s">
        <v>18</v>
      </c>
      <c r="B8" s="5" t="s">
        <v>19</v>
      </c>
      <c r="C8" s="6" t="s">
        <v>20</v>
      </c>
      <c r="D8" s="6" t="s">
        <v>21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188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189</v>
      </c>
      <c r="B4" s="25" t="s">
        <v>7</v>
      </c>
      <c r="C4" s="26" t="s">
        <v>8</v>
      </c>
      <c r="D4" s="26" t="s">
        <v>190</v>
      </c>
    </row>
    <row r="5" spans="1:4" x14ac:dyDescent="0.25">
      <c r="A5" s="7" t="s">
        <v>191</v>
      </c>
      <c r="B5" s="8" t="s">
        <v>7</v>
      </c>
      <c r="C5" s="9" t="s">
        <v>11</v>
      </c>
      <c r="D5" s="9" t="s">
        <v>192</v>
      </c>
    </row>
    <row r="6" spans="1:4" x14ac:dyDescent="0.25">
      <c r="A6" s="27" t="s">
        <v>193</v>
      </c>
      <c r="B6" s="25" t="s">
        <v>19</v>
      </c>
      <c r="C6" s="26" t="s">
        <v>11</v>
      </c>
      <c r="D6" s="26" t="s">
        <v>194</v>
      </c>
    </row>
    <row r="7" spans="1:4" x14ac:dyDescent="0.25">
      <c r="A7" s="12" t="s">
        <v>49</v>
      </c>
      <c r="B7" s="8" t="s">
        <v>19</v>
      </c>
      <c r="C7" s="9" t="s">
        <v>50</v>
      </c>
      <c r="D7" s="9" t="s">
        <v>195</v>
      </c>
    </row>
    <row r="8" spans="1:4" x14ac:dyDescent="0.25">
      <c r="A8" s="27" t="s">
        <v>60</v>
      </c>
      <c r="B8" s="25" t="s">
        <v>61</v>
      </c>
      <c r="C8" s="26" t="s">
        <v>11</v>
      </c>
      <c r="D8" s="26" t="s">
        <v>196</v>
      </c>
    </row>
    <row r="9" spans="1:4" x14ac:dyDescent="0.25">
      <c r="A9" t="s">
        <v>158</v>
      </c>
      <c r="B9" t="s">
        <v>158</v>
      </c>
      <c r="C9" t="s">
        <v>158</v>
      </c>
      <c r="D9" t="s">
        <v>158</v>
      </c>
    </row>
    <row r="10" spans="1:4" x14ac:dyDescent="0.25">
      <c r="A10" s="29" t="s">
        <v>63</v>
      </c>
      <c r="B10" s="29" t="s">
        <v>158</v>
      </c>
      <c r="C10" s="29" t="s">
        <v>158</v>
      </c>
      <c r="D10" s="29" t="s">
        <v>158</v>
      </c>
    </row>
    <row r="11" spans="1:4" x14ac:dyDescent="0.25">
      <c r="A11" s="30" t="s">
        <v>197</v>
      </c>
      <c r="B11" s="30" t="s">
        <v>158</v>
      </c>
      <c r="C11" s="30" t="s">
        <v>158</v>
      </c>
      <c r="D11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211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212</v>
      </c>
      <c r="B4" s="25" t="s">
        <v>7</v>
      </c>
      <c r="C4" s="26" t="s">
        <v>8</v>
      </c>
      <c r="D4" s="26" t="s">
        <v>213</v>
      </c>
    </row>
    <row r="5" spans="1:4" x14ac:dyDescent="0.25">
      <c r="A5" s="7" t="s">
        <v>214</v>
      </c>
      <c r="B5" s="8" t="s">
        <v>7</v>
      </c>
      <c r="C5" s="9" t="s">
        <v>11</v>
      </c>
      <c r="D5" s="9" t="s">
        <v>215</v>
      </c>
    </row>
    <row r="6" spans="1:4" x14ac:dyDescent="0.25">
      <c r="A6" s="27" t="s">
        <v>216</v>
      </c>
      <c r="B6" s="25" t="s">
        <v>19</v>
      </c>
      <c r="C6" s="26" t="s">
        <v>11</v>
      </c>
      <c r="D6" s="26" t="s">
        <v>194</v>
      </c>
    </row>
    <row r="7" spans="1:4" x14ac:dyDescent="0.25">
      <c r="A7" s="12" t="s">
        <v>49</v>
      </c>
      <c r="B7" s="8" t="s">
        <v>19</v>
      </c>
      <c r="C7" s="9" t="s">
        <v>50</v>
      </c>
      <c r="D7" s="9" t="s">
        <v>195</v>
      </c>
    </row>
    <row r="8" spans="1:4" x14ac:dyDescent="0.25">
      <c r="A8" s="27" t="s">
        <v>60</v>
      </c>
      <c r="B8" s="25" t="s">
        <v>61</v>
      </c>
      <c r="C8" s="26" t="s">
        <v>11</v>
      </c>
      <c r="D8" s="26" t="s">
        <v>196</v>
      </c>
    </row>
    <row r="9" spans="1:4" x14ac:dyDescent="0.25">
      <c r="A9" t="s">
        <v>158</v>
      </c>
      <c r="B9" t="s">
        <v>158</v>
      </c>
      <c r="C9" t="s">
        <v>158</v>
      </c>
      <c r="D9" t="s">
        <v>158</v>
      </c>
    </row>
    <row r="10" spans="1:4" x14ac:dyDescent="0.25">
      <c r="A10" s="29" t="s">
        <v>63</v>
      </c>
      <c r="B10" s="29" t="s">
        <v>158</v>
      </c>
      <c r="C10" s="29" t="s">
        <v>158</v>
      </c>
      <c r="D10" s="29" t="s">
        <v>158</v>
      </c>
    </row>
    <row r="11" spans="1:4" x14ac:dyDescent="0.25">
      <c r="A11" s="30" t="s">
        <v>217</v>
      </c>
      <c r="B11" s="30" t="s">
        <v>158</v>
      </c>
      <c r="C11" s="30" t="s">
        <v>158</v>
      </c>
      <c r="D11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181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182</v>
      </c>
      <c r="B4" s="25" t="s">
        <v>7</v>
      </c>
      <c r="C4" s="26" t="s">
        <v>8</v>
      </c>
      <c r="D4" s="26" t="s">
        <v>183</v>
      </c>
    </row>
    <row r="5" spans="1:4" x14ac:dyDescent="0.25">
      <c r="A5" s="7" t="s">
        <v>184</v>
      </c>
      <c r="B5" s="8" t="s">
        <v>7</v>
      </c>
      <c r="C5" s="9" t="s">
        <v>11</v>
      </c>
      <c r="D5" s="9" t="s">
        <v>185</v>
      </c>
    </row>
    <row r="6" spans="1:4" x14ac:dyDescent="0.25">
      <c r="A6" s="28" t="s">
        <v>49</v>
      </c>
      <c r="B6" s="25" t="s">
        <v>19</v>
      </c>
      <c r="C6" s="26" t="s">
        <v>179</v>
      </c>
      <c r="D6" s="26" t="s">
        <v>186</v>
      </c>
    </row>
    <row r="7" spans="1:4" x14ac:dyDescent="0.25">
      <c r="A7" s="7" t="s">
        <v>60</v>
      </c>
      <c r="B7" s="8" t="s">
        <v>61</v>
      </c>
      <c r="C7" s="9" t="s">
        <v>11</v>
      </c>
      <c r="D7" s="9" t="s">
        <v>187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383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368</v>
      </c>
      <c r="B4" s="25" t="s">
        <v>7</v>
      </c>
      <c r="C4" s="26" t="s">
        <v>8</v>
      </c>
      <c r="D4" s="26" t="s">
        <v>384</v>
      </c>
    </row>
    <row r="5" spans="1:4" x14ac:dyDescent="0.25">
      <c r="A5" s="7" t="s">
        <v>109</v>
      </c>
      <c r="B5" s="8" t="s">
        <v>7</v>
      </c>
      <c r="C5" s="9" t="s">
        <v>11</v>
      </c>
      <c r="D5" s="9" t="s">
        <v>385</v>
      </c>
    </row>
    <row r="6" spans="1:4" x14ac:dyDescent="0.25">
      <c r="A6" s="27" t="s">
        <v>170</v>
      </c>
      <c r="B6" s="25" t="s">
        <v>7</v>
      </c>
      <c r="C6" s="26" t="s">
        <v>16</v>
      </c>
      <c r="D6" s="26" t="s">
        <v>386</v>
      </c>
    </row>
    <row r="7" spans="1:4" x14ac:dyDescent="0.25">
      <c r="A7" s="12" t="s">
        <v>49</v>
      </c>
      <c r="B7" s="8" t="s">
        <v>19</v>
      </c>
      <c r="C7" s="9" t="s">
        <v>179</v>
      </c>
      <c r="D7" s="9" t="s">
        <v>387</v>
      </c>
    </row>
    <row r="8" spans="1:4" x14ac:dyDescent="0.25">
      <c r="A8" s="28" t="s">
        <v>182</v>
      </c>
      <c r="B8" s="25" t="s">
        <v>7</v>
      </c>
      <c r="C8" s="26" t="s">
        <v>283</v>
      </c>
      <c r="D8" s="26" t="s">
        <v>388</v>
      </c>
    </row>
    <row r="9" spans="1:4" x14ac:dyDescent="0.25">
      <c r="A9" s="7" t="s">
        <v>389</v>
      </c>
      <c r="B9" s="8" t="s">
        <v>7</v>
      </c>
      <c r="C9" s="9" t="s">
        <v>390</v>
      </c>
      <c r="D9" s="9" t="s">
        <v>391</v>
      </c>
    </row>
    <row r="10" spans="1:4" x14ac:dyDescent="0.25">
      <c r="A10" s="27" t="s">
        <v>60</v>
      </c>
      <c r="B10" s="25" t="s">
        <v>61</v>
      </c>
      <c r="C10" s="26" t="s">
        <v>11</v>
      </c>
      <c r="D10" s="26" t="s">
        <v>392</v>
      </c>
    </row>
    <row r="11" spans="1:4" x14ac:dyDescent="0.25">
      <c r="A11" s="7" t="s">
        <v>316</v>
      </c>
      <c r="B11" s="8" t="s">
        <v>61</v>
      </c>
      <c r="C11" s="9" t="s">
        <v>11</v>
      </c>
      <c r="D11" s="9" t="s">
        <v>393</v>
      </c>
    </row>
    <row r="12" spans="1:4" x14ac:dyDescent="0.25">
      <c r="A12" s="27" t="s">
        <v>132</v>
      </c>
      <c r="B12" s="25" t="s">
        <v>56</v>
      </c>
      <c r="C12" s="26" t="s">
        <v>16</v>
      </c>
      <c r="D12" s="26" t="s">
        <v>394</v>
      </c>
    </row>
    <row r="13" spans="1:4" x14ac:dyDescent="0.25">
      <c r="A13" s="7" t="s">
        <v>395</v>
      </c>
      <c r="B13" s="8" t="s">
        <v>19</v>
      </c>
      <c r="C13" s="9" t="s">
        <v>16</v>
      </c>
      <c r="D13" s="9" t="s">
        <v>396</v>
      </c>
    </row>
    <row r="14" spans="1:4" x14ac:dyDescent="0.25">
      <c r="A14" s="27" t="s">
        <v>397</v>
      </c>
      <c r="B14" s="25" t="s">
        <v>19</v>
      </c>
      <c r="C14" s="26" t="s">
        <v>11</v>
      </c>
      <c r="D14" s="26" t="s">
        <v>398</v>
      </c>
    </row>
    <row r="15" spans="1:4" x14ac:dyDescent="0.25">
      <c r="A15" s="34" t="s">
        <v>399</v>
      </c>
      <c r="B15" s="8" t="s">
        <v>19</v>
      </c>
      <c r="C15" s="35" t="s">
        <v>317</v>
      </c>
      <c r="D15" s="9" t="s">
        <v>400</v>
      </c>
    </row>
    <row r="16" spans="1:4" x14ac:dyDescent="0.25">
      <c r="A16" s="27" t="s">
        <v>401</v>
      </c>
      <c r="B16" s="25" t="s">
        <v>19</v>
      </c>
      <c r="C16" s="26" t="s">
        <v>11</v>
      </c>
      <c r="D16" s="26" t="s">
        <v>402</v>
      </c>
    </row>
    <row r="17" spans="1:4" x14ac:dyDescent="0.25">
      <c r="A17" s="7" t="s">
        <v>403</v>
      </c>
      <c r="B17" s="8" t="s">
        <v>19</v>
      </c>
      <c r="C17" s="9" t="s">
        <v>11</v>
      </c>
      <c r="D17" s="9" t="s">
        <v>404</v>
      </c>
    </row>
    <row r="18" spans="1:4" x14ac:dyDescent="0.25">
      <c r="A18" s="27" t="s">
        <v>405</v>
      </c>
      <c r="B18" s="25" t="s">
        <v>19</v>
      </c>
      <c r="C18" s="26" t="s">
        <v>11</v>
      </c>
      <c r="D18" s="26" t="s">
        <v>406</v>
      </c>
    </row>
    <row r="19" spans="1:4" x14ac:dyDescent="0.25">
      <c r="A19" s="7" t="s">
        <v>407</v>
      </c>
      <c r="B19" s="8" t="s">
        <v>19</v>
      </c>
      <c r="C19" s="9" t="s">
        <v>11</v>
      </c>
      <c r="D19" s="9" t="s">
        <v>408</v>
      </c>
    </row>
    <row r="20" spans="1:4" x14ac:dyDescent="0.25">
      <c r="A20" s="27" t="s">
        <v>409</v>
      </c>
      <c r="B20" s="25" t="s">
        <v>19</v>
      </c>
      <c r="C20" s="26" t="s">
        <v>11</v>
      </c>
      <c r="D20" s="26" t="s">
        <v>410</v>
      </c>
    </row>
    <row r="21" spans="1:4" x14ac:dyDescent="0.25">
      <c r="A21" s="7" t="s">
        <v>411</v>
      </c>
      <c r="B21" s="8" t="s">
        <v>19</v>
      </c>
      <c r="C21" s="9" t="s">
        <v>11</v>
      </c>
      <c r="D21" s="9" t="s">
        <v>412</v>
      </c>
    </row>
    <row r="22" spans="1:4" x14ac:dyDescent="0.25">
      <c r="A22" s="27" t="s">
        <v>413</v>
      </c>
      <c r="B22" s="25" t="s">
        <v>19</v>
      </c>
      <c r="C22" s="26" t="s">
        <v>11</v>
      </c>
      <c r="D22" s="26" t="s">
        <v>414</v>
      </c>
    </row>
    <row r="23" spans="1:4" x14ac:dyDescent="0.25">
      <c r="A23" s="7" t="s">
        <v>415</v>
      </c>
      <c r="B23" s="8" t="s">
        <v>19</v>
      </c>
      <c r="C23" s="9" t="s">
        <v>11</v>
      </c>
      <c r="D23" s="9" t="s">
        <v>416</v>
      </c>
    </row>
    <row r="24" spans="1:4" x14ac:dyDescent="0.25">
      <c r="A24" s="27" t="s">
        <v>417</v>
      </c>
      <c r="B24" s="25" t="s">
        <v>19</v>
      </c>
      <c r="C24" s="26" t="s">
        <v>11</v>
      </c>
      <c r="D24" s="26" t="s">
        <v>418</v>
      </c>
    </row>
    <row r="25" spans="1:4" x14ac:dyDescent="0.25">
      <c r="A25" s="7" t="s">
        <v>419</v>
      </c>
      <c r="B25" s="8" t="s">
        <v>19</v>
      </c>
      <c r="C25" s="9" t="s">
        <v>11</v>
      </c>
      <c r="D25" s="9" t="s">
        <v>420</v>
      </c>
    </row>
    <row r="26" spans="1:4" x14ac:dyDescent="0.25">
      <c r="A26" s="27" t="s">
        <v>421</v>
      </c>
      <c r="B26" s="25" t="s">
        <v>19</v>
      </c>
      <c r="C26" s="26" t="s">
        <v>11</v>
      </c>
      <c r="D26" s="26" t="s">
        <v>422</v>
      </c>
    </row>
    <row r="27" spans="1:4" x14ac:dyDescent="0.25">
      <c r="A27" s="7" t="s">
        <v>423</v>
      </c>
      <c r="B27" s="8" t="s">
        <v>19</v>
      </c>
      <c r="C27" s="9" t="s">
        <v>11</v>
      </c>
      <c r="D27" s="9" t="s">
        <v>424</v>
      </c>
    </row>
    <row r="28" spans="1:4" x14ac:dyDescent="0.25">
      <c r="A28" s="27" t="s">
        <v>425</v>
      </c>
      <c r="B28" s="25" t="s">
        <v>19</v>
      </c>
      <c r="C28" s="26" t="s">
        <v>11</v>
      </c>
      <c r="D28" s="26" t="s">
        <v>426</v>
      </c>
    </row>
    <row r="29" spans="1:4" x14ac:dyDescent="0.25">
      <c r="A29" s="7" t="s">
        <v>427</v>
      </c>
      <c r="B29" s="8" t="s">
        <v>19</v>
      </c>
      <c r="C29" s="9" t="s">
        <v>11</v>
      </c>
      <c r="D29" s="9" t="s">
        <v>428</v>
      </c>
    </row>
    <row r="30" spans="1:4" x14ac:dyDescent="0.25">
      <c r="A30" s="27" t="s">
        <v>429</v>
      </c>
      <c r="B30" s="25" t="s">
        <v>19</v>
      </c>
      <c r="C30" s="26" t="s">
        <v>11</v>
      </c>
      <c r="D30" s="26" t="s">
        <v>430</v>
      </c>
    </row>
    <row r="31" spans="1:4" x14ac:dyDescent="0.25">
      <c r="A31" s="7" t="s">
        <v>431</v>
      </c>
      <c r="B31" s="8" t="s">
        <v>19</v>
      </c>
      <c r="C31" s="9" t="s">
        <v>11</v>
      </c>
      <c r="D31" s="9" t="s">
        <v>432</v>
      </c>
    </row>
    <row r="32" spans="1:4" x14ac:dyDescent="0.25">
      <c r="A32" t="s">
        <v>158</v>
      </c>
      <c r="B32" t="s">
        <v>158</v>
      </c>
      <c r="C32" t="s">
        <v>158</v>
      </c>
      <c r="D32" t="s">
        <v>158</v>
      </c>
    </row>
    <row r="33" spans="1:4" x14ac:dyDescent="0.25">
      <c r="A33" s="29" t="s">
        <v>63</v>
      </c>
      <c r="B33" s="29" t="s">
        <v>158</v>
      </c>
      <c r="C33" s="29" t="s">
        <v>158</v>
      </c>
      <c r="D33" s="29" t="s">
        <v>158</v>
      </c>
    </row>
    <row r="34" spans="1:4" x14ac:dyDescent="0.25">
      <c r="A34" s="30" t="s">
        <v>433</v>
      </c>
      <c r="B34" s="30" t="s">
        <v>158</v>
      </c>
      <c r="C34" s="30" t="s">
        <v>158</v>
      </c>
      <c r="D34" s="30" t="s">
        <v>158</v>
      </c>
    </row>
    <row r="35" spans="1:4" x14ac:dyDescent="0.25">
      <c r="A35" s="30" t="s">
        <v>434</v>
      </c>
      <c r="B35" s="30" t="s">
        <v>158</v>
      </c>
      <c r="C35" s="30" t="s">
        <v>158</v>
      </c>
      <c r="D35" s="30" t="s">
        <v>158</v>
      </c>
    </row>
    <row r="36" spans="1:4" x14ac:dyDescent="0.25">
      <c r="A36" s="30" t="s">
        <v>435</v>
      </c>
      <c r="B36" s="30" t="s">
        <v>158</v>
      </c>
      <c r="C36" s="30" t="s">
        <v>158</v>
      </c>
      <c r="D36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228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25</v>
      </c>
      <c r="B4" s="25" t="s">
        <v>19</v>
      </c>
      <c r="C4" s="26" t="s">
        <v>8</v>
      </c>
      <c r="D4" s="26" t="s">
        <v>229</v>
      </c>
    </row>
    <row r="5" spans="1:4" x14ac:dyDescent="0.25">
      <c r="A5" s="12" t="s">
        <v>49</v>
      </c>
      <c r="B5" s="8" t="s">
        <v>19</v>
      </c>
      <c r="C5" s="9" t="s">
        <v>179</v>
      </c>
      <c r="D5" s="9" t="s">
        <v>230</v>
      </c>
    </row>
    <row r="6" spans="1:4" x14ac:dyDescent="0.25">
      <c r="A6" s="27" t="s">
        <v>231</v>
      </c>
      <c r="B6" s="25" t="s">
        <v>7</v>
      </c>
      <c r="C6" s="26" t="s">
        <v>232</v>
      </c>
      <c r="D6" s="26" t="s">
        <v>233</v>
      </c>
    </row>
    <row r="7" spans="1:4" x14ac:dyDescent="0.25">
      <c r="A7" s="7" t="s">
        <v>234</v>
      </c>
      <c r="B7" s="8" t="s">
        <v>7</v>
      </c>
      <c r="C7" s="9" t="s">
        <v>16</v>
      </c>
      <c r="D7" s="9" t="s">
        <v>235</v>
      </c>
    </row>
    <row r="8" spans="1:4" x14ac:dyDescent="0.25">
      <c r="A8" s="27" t="s">
        <v>236</v>
      </c>
      <c r="B8" s="25" t="s">
        <v>7</v>
      </c>
      <c r="C8" s="26" t="s">
        <v>16</v>
      </c>
      <c r="D8" s="26" t="s">
        <v>237</v>
      </c>
    </row>
    <row r="9" spans="1:4" x14ac:dyDescent="0.25">
      <c r="A9" s="7" t="s">
        <v>238</v>
      </c>
      <c r="B9" s="8" t="s">
        <v>7</v>
      </c>
      <c r="C9" s="9" t="s">
        <v>239</v>
      </c>
      <c r="D9" s="9" t="s">
        <v>240</v>
      </c>
    </row>
    <row r="10" spans="1:4" x14ac:dyDescent="0.25">
      <c r="A10" s="27" t="s">
        <v>241</v>
      </c>
      <c r="B10" s="25" t="s">
        <v>7</v>
      </c>
      <c r="C10" s="26" t="s">
        <v>16</v>
      </c>
      <c r="D10" s="26" t="s">
        <v>242</v>
      </c>
    </row>
    <row r="11" spans="1:4" x14ac:dyDescent="0.25">
      <c r="A11" s="7" t="s">
        <v>243</v>
      </c>
      <c r="B11" s="8" t="s">
        <v>7</v>
      </c>
      <c r="C11" s="9" t="s">
        <v>16</v>
      </c>
      <c r="D11" s="9" t="s">
        <v>244</v>
      </c>
    </row>
    <row r="12" spans="1:4" x14ac:dyDescent="0.25">
      <c r="A12" s="27" t="s">
        <v>245</v>
      </c>
      <c r="B12" s="25" t="s">
        <v>7</v>
      </c>
      <c r="C12" s="26" t="s">
        <v>16</v>
      </c>
      <c r="D12" s="26" t="s">
        <v>246</v>
      </c>
    </row>
    <row r="13" spans="1:4" x14ac:dyDescent="0.25">
      <c r="A13" s="7" t="s">
        <v>247</v>
      </c>
      <c r="B13" s="8" t="s">
        <v>7</v>
      </c>
      <c r="C13" s="9" t="s">
        <v>16</v>
      </c>
      <c r="D13" s="9" t="s">
        <v>248</v>
      </c>
    </row>
    <row r="14" spans="1:4" x14ac:dyDescent="0.25">
      <c r="A14" s="27" t="s">
        <v>249</v>
      </c>
      <c r="B14" s="25" t="s">
        <v>7</v>
      </c>
      <c r="C14" s="26" t="s">
        <v>16</v>
      </c>
      <c r="D14" s="26" t="s">
        <v>250</v>
      </c>
    </row>
    <row r="15" spans="1:4" x14ac:dyDescent="0.25">
      <c r="A15" s="7" t="s">
        <v>251</v>
      </c>
      <c r="B15" s="8" t="s">
        <v>7</v>
      </c>
      <c r="C15" s="9" t="s">
        <v>16</v>
      </c>
      <c r="D15" s="9" t="s">
        <v>252</v>
      </c>
    </row>
    <row r="16" spans="1:4" x14ac:dyDescent="0.25">
      <c r="A16" s="27" t="s">
        <v>253</v>
      </c>
      <c r="B16" s="25" t="s">
        <v>7</v>
      </c>
      <c r="C16" s="26" t="s">
        <v>254</v>
      </c>
      <c r="D16" s="26" t="s">
        <v>255</v>
      </c>
    </row>
    <row r="17" spans="1:4" x14ac:dyDescent="0.25">
      <c r="A17" t="s">
        <v>158</v>
      </c>
      <c r="B17" t="s">
        <v>158</v>
      </c>
      <c r="C17" t="s">
        <v>158</v>
      </c>
      <c r="D17" t="s">
        <v>158</v>
      </c>
    </row>
    <row r="18" spans="1:4" x14ac:dyDescent="0.25">
      <c r="A18" s="29" t="s">
        <v>63</v>
      </c>
      <c r="B18" s="29" t="s">
        <v>158</v>
      </c>
      <c r="C18" s="29" t="s">
        <v>158</v>
      </c>
      <c r="D18" s="29" t="s">
        <v>158</v>
      </c>
    </row>
    <row r="19" spans="1:4" x14ac:dyDescent="0.25">
      <c r="A19" s="30" t="s">
        <v>256</v>
      </c>
      <c r="B19" s="30" t="s">
        <v>158</v>
      </c>
      <c r="C19" s="30" t="s">
        <v>158</v>
      </c>
      <c r="D19" s="30" t="s">
        <v>158</v>
      </c>
    </row>
    <row r="20" spans="1:4" x14ac:dyDescent="0.25">
      <c r="A20" s="30" t="s">
        <v>257</v>
      </c>
      <c r="B20" s="30" t="s">
        <v>158</v>
      </c>
      <c r="C20" s="30" t="s">
        <v>158</v>
      </c>
      <c r="D20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12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22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23</v>
      </c>
      <c r="B4" s="5" t="s">
        <v>19</v>
      </c>
      <c r="C4" s="6" t="s">
        <v>8</v>
      </c>
      <c r="D4" s="6" t="s">
        <v>24</v>
      </c>
    </row>
    <row r="5" spans="1:4" x14ac:dyDescent="0.25">
      <c r="A5" s="12" t="s">
        <v>25</v>
      </c>
      <c r="B5" s="8" t="s">
        <v>19</v>
      </c>
      <c r="C5" s="9" t="s">
        <v>26</v>
      </c>
      <c r="D5" s="9" t="s">
        <v>27</v>
      </c>
    </row>
    <row r="6" spans="1:4" x14ac:dyDescent="0.25">
      <c r="A6" s="10" t="s">
        <v>10</v>
      </c>
      <c r="B6" s="5" t="s">
        <v>7</v>
      </c>
      <c r="C6" s="6" t="s">
        <v>11</v>
      </c>
      <c r="D6" s="6" t="s">
        <v>28</v>
      </c>
    </row>
    <row r="7" spans="1:4" x14ac:dyDescent="0.25">
      <c r="A7" s="7" t="s">
        <v>13</v>
      </c>
      <c r="B7" s="8" t="s">
        <v>7</v>
      </c>
      <c r="C7" s="9" t="s">
        <v>16</v>
      </c>
      <c r="D7" s="9" t="s">
        <v>29</v>
      </c>
    </row>
    <row r="8" spans="1:4" x14ac:dyDescent="0.25">
      <c r="A8" s="10" t="s">
        <v>30</v>
      </c>
      <c r="B8" s="5" t="s">
        <v>7</v>
      </c>
      <c r="C8" s="6" t="s">
        <v>16</v>
      </c>
      <c r="D8" s="6" t="s">
        <v>31</v>
      </c>
    </row>
    <row r="9" spans="1:4" x14ac:dyDescent="0.25">
      <c r="A9" s="7" t="s">
        <v>32</v>
      </c>
      <c r="B9" s="8" t="s">
        <v>7</v>
      </c>
      <c r="C9" s="9" t="s">
        <v>16</v>
      </c>
      <c r="D9" s="9" t="s">
        <v>33</v>
      </c>
    </row>
    <row r="10" spans="1:4" x14ac:dyDescent="0.25">
      <c r="A10" s="10" t="s">
        <v>34</v>
      </c>
      <c r="B10" s="5" t="s">
        <v>7</v>
      </c>
      <c r="C10" s="6" t="s">
        <v>16</v>
      </c>
      <c r="D10" s="6" t="s">
        <v>35</v>
      </c>
    </row>
    <row r="11" spans="1:4" x14ac:dyDescent="0.25">
      <c r="A11" s="7" t="s">
        <v>15</v>
      </c>
      <c r="B11" s="8" t="s">
        <v>7</v>
      </c>
      <c r="C11" s="9" t="s">
        <v>16</v>
      </c>
      <c r="D11" s="9" t="s">
        <v>36</v>
      </c>
    </row>
    <row r="12" spans="1:4" x14ac:dyDescent="0.25">
      <c r="A12" s="10" t="s">
        <v>37</v>
      </c>
      <c r="B12" s="5" t="s">
        <v>7</v>
      </c>
      <c r="C12" s="6" t="s">
        <v>38</v>
      </c>
      <c r="D12" s="6" t="s">
        <v>39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258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259</v>
      </c>
      <c r="B4" s="25" t="s">
        <v>7</v>
      </c>
      <c r="C4" s="26" t="s">
        <v>8</v>
      </c>
      <c r="D4" s="26" t="s">
        <v>260</v>
      </c>
    </row>
    <row r="5" spans="1:4" x14ac:dyDescent="0.25">
      <c r="A5" s="7" t="s">
        <v>60</v>
      </c>
      <c r="B5" s="8" t="s">
        <v>61</v>
      </c>
      <c r="C5" s="9" t="s">
        <v>11</v>
      </c>
      <c r="D5" s="9" t="s">
        <v>261</v>
      </c>
    </row>
    <row r="6" spans="1:4" x14ac:dyDescent="0.25">
      <c r="A6" s="27" t="s">
        <v>262</v>
      </c>
      <c r="B6" s="25" t="s">
        <v>61</v>
      </c>
      <c r="C6" s="26" t="s">
        <v>11</v>
      </c>
      <c r="D6" s="26" t="s">
        <v>263</v>
      </c>
    </row>
    <row r="7" spans="1:4" x14ac:dyDescent="0.25">
      <c r="A7" s="7" t="s">
        <v>253</v>
      </c>
      <c r="B7" s="8" t="s">
        <v>7</v>
      </c>
      <c r="C7" s="9" t="s">
        <v>264</v>
      </c>
      <c r="D7" s="9" t="s">
        <v>265</v>
      </c>
    </row>
    <row r="8" spans="1:4" x14ac:dyDescent="0.25">
      <c r="A8" s="27" t="s">
        <v>266</v>
      </c>
      <c r="B8" s="25" t="s">
        <v>7</v>
      </c>
      <c r="C8" s="26" t="s">
        <v>16</v>
      </c>
      <c r="D8" s="26" t="s">
        <v>267</v>
      </c>
    </row>
    <row r="9" spans="1:4" x14ac:dyDescent="0.25">
      <c r="A9" s="7" t="s">
        <v>268</v>
      </c>
      <c r="B9" s="8" t="s">
        <v>7</v>
      </c>
      <c r="C9" s="9" t="s">
        <v>16</v>
      </c>
      <c r="D9" s="9" t="s">
        <v>269</v>
      </c>
    </row>
    <row r="10" spans="1:4" x14ac:dyDescent="0.25">
      <c r="A10" s="27" t="s">
        <v>270</v>
      </c>
      <c r="B10" s="25" t="s">
        <v>7</v>
      </c>
      <c r="C10" s="26" t="s">
        <v>16</v>
      </c>
      <c r="D10" s="26" t="s">
        <v>271</v>
      </c>
    </row>
    <row r="11" spans="1:4" x14ac:dyDescent="0.25">
      <c r="A11" s="7" t="s">
        <v>272</v>
      </c>
      <c r="B11" s="8" t="s">
        <v>7</v>
      </c>
      <c r="C11" s="9" t="s">
        <v>16</v>
      </c>
      <c r="D11" s="9" t="s">
        <v>273</v>
      </c>
    </row>
    <row r="12" spans="1:4" x14ac:dyDescent="0.25">
      <c r="A12" s="27" t="s">
        <v>170</v>
      </c>
      <c r="B12" s="25" t="s">
        <v>7</v>
      </c>
      <c r="C12" s="26" t="s">
        <v>16</v>
      </c>
      <c r="D12" s="26" t="s">
        <v>274</v>
      </c>
    </row>
    <row r="13" spans="1:4" x14ac:dyDescent="0.25">
      <c r="A13" s="7" t="s">
        <v>275</v>
      </c>
      <c r="B13" s="8" t="s">
        <v>7</v>
      </c>
      <c r="C13" s="9" t="s">
        <v>16</v>
      </c>
      <c r="D13" s="9" t="s">
        <v>276</v>
      </c>
    </row>
    <row r="14" spans="1:4" x14ac:dyDescent="0.25">
      <c r="A14" s="27" t="s">
        <v>277</v>
      </c>
      <c r="B14" s="25" t="s">
        <v>7</v>
      </c>
      <c r="C14" s="26" t="s">
        <v>16</v>
      </c>
      <c r="D14" s="26" t="s">
        <v>278</v>
      </c>
    </row>
    <row r="15" spans="1:4" x14ac:dyDescent="0.25">
      <c r="A15" s="7" t="s">
        <v>279</v>
      </c>
      <c r="B15" s="8" t="s">
        <v>7</v>
      </c>
      <c r="C15" s="9" t="s">
        <v>16</v>
      </c>
      <c r="D15" s="9" t="s">
        <v>280</v>
      </c>
    </row>
    <row r="16" spans="1:4" x14ac:dyDescent="0.25">
      <c r="A16" s="27" t="s">
        <v>281</v>
      </c>
      <c r="B16" s="25" t="s">
        <v>7</v>
      </c>
      <c r="C16" s="26" t="s">
        <v>16</v>
      </c>
      <c r="D16" s="26" t="s">
        <v>282</v>
      </c>
    </row>
    <row r="17" spans="1:4" x14ac:dyDescent="0.25">
      <c r="A17" s="12" t="s">
        <v>182</v>
      </c>
      <c r="B17" s="8" t="s">
        <v>7</v>
      </c>
      <c r="C17" s="9" t="s">
        <v>283</v>
      </c>
      <c r="D17" s="9" t="s">
        <v>284</v>
      </c>
    </row>
    <row r="18" spans="1:4" x14ac:dyDescent="0.25">
      <c r="A18" s="27" t="s">
        <v>285</v>
      </c>
      <c r="B18" s="25" t="s">
        <v>56</v>
      </c>
      <c r="C18" s="26" t="s">
        <v>16</v>
      </c>
      <c r="D18" s="26" t="s">
        <v>286</v>
      </c>
    </row>
    <row r="19" spans="1:4" x14ac:dyDescent="0.25">
      <c r="A19" s="7" t="s">
        <v>287</v>
      </c>
      <c r="B19" s="8" t="s">
        <v>56</v>
      </c>
      <c r="C19" s="9" t="s">
        <v>16</v>
      </c>
      <c r="D19" s="9" t="s">
        <v>288</v>
      </c>
    </row>
    <row r="20" spans="1:4" x14ac:dyDescent="0.25">
      <c r="A20" s="27" t="s">
        <v>289</v>
      </c>
      <c r="B20" s="25" t="s">
        <v>56</v>
      </c>
      <c r="C20" s="26" t="s">
        <v>16</v>
      </c>
      <c r="D20" s="26" t="s">
        <v>290</v>
      </c>
    </row>
    <row r="21" spans="1:4" x14ac:dyDescent="0.25">
      <c r="A21" s="7" t="s">
        <v>291</v>
      </c>
      <c r="B21" s="8" t="s">
        <v>56</v>
      </c>
      <c r="C21" s="9" t="s">
        <v>16</v>
      </c>
      <c r="D21" s="9" t="s">
        <v>292</v>
      </c>
    </row>
    <row r="22" spans="1:4" x14ac:dyDescent="0.25">
      <c r="A22" s="27" t="s">
        <v>293</v>
      </c>
      <c r="B22" s="25" t="s">
        <v>19</v>
      </c>
      <c r="C22" s="26" t="s">
        <v>16</v>
      </c>
      <c r="D22" s="26" t="s">
        <v>294</v>
      </c>
    </row>
    <row r="23" spans="1:4" x14ac:dyDescent="0.25">
      <c r="A23" s="7" t="s">
        <v>295</v>
      </c>
      <c r="B23" s="8" t="s">
        <v>19</v>
      </c>
      <c r="C23" s="9" t="s">
        <v>16</v>
      </c>
      <c r="D23" s="9" t="s">
        <v>296</v>
      </c>
    </row>
    <row r="24" spans="1:4" x14ac:dyDescent="0.25">
      <c r="A24" s="27" t="s">
        <v>297</v>
      </c>
      <c r="B24" s="25" t="s">
        <v>19</v>
      </c>
      <c r="C24" s="26" t="s">
        <v>16</v>
      </c>
      <c r="D24" s="26" t="s">
        <v>298</v>
      </c>
    </row>
    <row r="25" spans="1:4" x14ac:dyDescent="0.25">
      <c r="A25" s="7" t="s">
        <v>299</v>
      </c>
      <c r="B25" s="8" t="s">
        <v>19</v>
      </c>
      <c r="C25" s="9" t="s">
        <v>16</v>
      </c>
      <c r="D25" s="9" t="s">
        <v>300</v>
      </c>
    </row>
    <row r="26" spans="1:4" x14ac:dyDescent="0.25">
      <c r="A26" s="27" t="s">
        <v>301</v>
      </c>
      <c r="B26" s="25" t="s">
        <v>19</v>
      </c>
      <c r="C26" s="26" t="s">
        <v>16</v>
      </c>
      <c r="D26" s="26" t="s">
        <v>302</v>
      </c>
    </row>
    <row r="27" spans="1:4" x14ac:dyDescent="0.25">
      <c r="A27" s="7" t="s">
        <v>303</v>
      </c>
      <c r="B27" s="8" t="s">
        <v>19</v>
      </c>
      <c r="C27" s="9" t="s">
        <v>16</v>
      </c>
      <c r="D27" s="9" t="s">
        <v>304</v>
      </c>
    </row>
    <row r="28" spans="1:4" x14ac:dyDescent="0.25">
      <c r="A28" s="27" t="s">
        <v>305</v>
      </c>
      <c r="B28" s="25" t="s">
        <v>56</v>
      </c>
      <c r="C28" s="26" t="s">
        <v>16</v>
      </c>
      <c r="D28" s="26" t="s">
        <v>306</v>
      </c>
    </row>
    <row r="29" spans="1:4" x14ac:dyDescent="0.25">
      <c r="A29" s="7" t="s">
        <v>307</v>
      </c>
      <c r="B29" s="8" t="s">
        <v>56</v>
      </c>
      <c r="C29" s="9" t="s">
        <v>16</v>
      </c>
      <c r="D29" s="9" t="s">
        <v>308</v>
      </c>
    </row>
    <row r="30" spans="1:4" x14ac:dyDescent="0.25">
      <c r="A30" s="27" t="s">
        <v>309</v>
      </c>
      <c r="B30" s="25" t="s">
        <v>7</v>
      </c>
      <c r="C30" s="26" t="s">
        <v>16</v>
      </c>
      <c r="D30" s="26" t="s">
        <v>310</v>
      </c>
    </row>
    <row r="31" spans="1:4" x14ac:dyDescent="0.25">
      <c r="A31" s="12" t="s">
        <v>25</v>
      </c>
      <c r="B31" s="8" t="s">
        <v>19</v>
      </c>
      <c r="C31" s="9" t="s">
        <v>311</v>
      </c>
      <c r="D31" s="9" t="s">
        <v>312</v>
      </c>
    </row>
    <row r="32" spans="1:4" x14ac:dyDescent="0.25">
      <c r="A32" s="32" t="s">
        <v>313</v>
      </c>
      <c r="B32" s="25" t="s">
        <v>19</v>
      </c>
      <c r="C32" s="33" t="s">
        <v>314</v>
      </c>
      <c r="D32" s="26" t="s">
        <v>315</v>
      </c>
    </row>
    <row r="33" spans="1:4" x14ac:dyDescent="0.25">
      <c r="A33" s="34" t="s">
        <v>316</v>
      </c>
      <c r="B33" s="8" t="s">
        <v>61</v>
      </c>
      <c r="C33" s="35" t="s">
        <v>317</v>
      </c>
      <c r="D33" s="9" t="s">
        <v>318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17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40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41</v>
      </c>
      <c r="B4" s="5" t="s">
        <v>19</v>
      </c>
      <c r="C4" s="6" t="s">
        <v>8</v>
      </c>
      <c r="D4" s="6" t="s">
        <v>24</v>
      </c>
    </row>
    <row r="5" spans="1:4" x14ac:dyDescent="0.25">
      <c r="A5" s="12" t="s">
        <v>6</v>
      </c>
      <c r="B5" s="8" t="s">
        <v>7</v>
      </c>
      <c r="C5" s="9" t="s">
        <v>42</v>
      </c>
      <c r="D5" s="9" t="s">
        <v>43</v>
      </c>
    </row>
    <row r="6" spans="1:4" x14ac:dyDescent="0.25">
      <c r="A6" s="10" t="s">
        <v>44</v>
      </c>
      <c r="B6" s="5" t="s">
        <v>7</v>
      </c>
      <c r="C6" s="6" t="s">
        <v>45</v>
      </c>
      <c r="D6" s="6" t="s">
        <v>46</v>
      </c>
    </row>
    <row r="7" spans="1:4" x14ac:dyDescent="0.25">
      <c r="A7" s="12" t="s">
        <v>18</v>
      </c>
      <c r="B7" s="8" t="s">
        <v>19</v>
      </c>
      <c r="C7" s="9" t="s">
        <v>47</v>
      </c>
      <c r="D7" s="9" t="s">
        <v>48</v>
      </c>
    </row>
    <row r="8" spans="1:4" x14ac:dyDescent="0.25">
      <c r="A8" s="11" t="s">
        <v>49</v>
      </c>
      <c r="B8" s="5" t="s">
        <v>19</v>
      </c>
      <c r="C8" s="6" t="s">
        <v>50</v>
      </c>
      <c r="D8" s="6" t="s">
        <v>51</v>
      </c>
    </row>
    <row r="9" spans="1:4" x14ac:dyDescent="0.25">
      <c r="A9" s="12" t="s">
        <v>52</v>
      </c>
      <c r="B9" s="8" t="s">
        <v>19</v>
      </c>
      <c r="C9" s="9" t="s">
        <v>53</v>
      </c>
      <c r="D9" s="9" t="s">
        <v>54</v>
      </c>
    </row>
    <row r="10" spans="1:4" x14ac:dyDescent="0.25">
      <c r="A10" s="10" t="s">
        <v>55</v>
      </c>
      <c r="B10" s="5" t="s">
        <v>56</v>
      </c>
      <c r="C10" s="6" t="s">
        <v>11</v>
      </c>
      <c r="D10" s="6" t="s">
        <v>57</v>
      </c>
    </row>
    <row r="11" spans="1:4" x14ac:dyDescent="0.25">
      <c r="A11" s="7" t="s">
        <v>58</v>
      </c>
      <c r="B11" s="8" t="s">
        <v>56</v>
      </c>
      <c r="C11" s="9" t="s">
        <v>16</v>
      </c>
      <c r="D11" s="9" t="s">
        <v>59</v>
      </c>
    </row>
    <row r="12" spans="1:4" x14ac:dyDescent="0.25">
      <c r="A12" s="10" t="s">
        <v>60</v>
      </c>
      <c r="B12" s="5" t="s">
        <v>61</v>
      </c>
      <c r="C12" s="6" t="s">
        <v>11</v>
      </c>
      <c r="D12" s="6" t="s">
        <v>62</v>
      </c>
    </row>
    <row r="14" spans="1:4" x14ac:dyDescent="0.25">
      <c r="A14" s="13" t="s">
        <v>63</v>
      </c>
      <c r="B14"/>
      <c r="C14"/>
      <c r="D14"/>
    </row>
    <row r="15" ht="30" customHeight="1" spans="1:4" x14ac:dyDescent="0.25">
      <c r="A15" s="14" t="s">
        <v>64</v>
      </c>
      <c r="B15"/>
      <c r="C15"/>
      <c r="D15"/>
    </row>
    <row r="16" ht="30" customHeight="1" spans="1:4" x14ac:dyDescent="0.25">
      <c r="A16" s="14" t="s">
        <v>65</v>
      </c>
      <c r="B16"/>
      <c r="C16"/>
      <c r="D16"/>
    </row>
    <row r="17" ht="15" customHeight="1" spans="1:4" x14ac:dyDescent="0.25">
      <c r="A17" s="14" t="s">
        <v>66</v>
      </c>
      <c r="B17"/>
      <c r="C17"/>
      <c r="D17"/>
    </row>
  </sheetData>
  <mergeCells count="6">
    <mergeCell ref="A1:D1"/>
    <mergeCell ref="A2:D2"/>
    <mergeCell ref="A14:D14"/>
    <mergeCell ref="A15:D15"/>
    <mergeCell ref="A16:D16"/>
    <mergeCell ref="A17:D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8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67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68</v>
      </c>
      <c r="B4" s="5" t="s">
        <v>19</v>
      </c>
      <c r="C4" s="6" t="s">
        <v>8</v>
      </c>
      <c r="D4" s="6" t="s">
        <v>24</v>
      </c>
    </row>
    <row r="5" spans="1:4" x14ac:dyDescent="0.25">
      <c r="A5" s="12" t="s">
        <v>41</v>
      </c>
      <c r="B5" s="8" t="s">
        <v>19</v>
      </c>
      <c r="C5" s="9" t="s">
        <v>69</v>
      </c>
      <c r="D5" s="9" t="s">
        <v>70</v>
      </c>
    </row>
    <row r="6" spans="1:4" x14ac:dyDescent="0.25">
      <c r="A6" s="11" t="s">
        <v>71</v>
      </c>
      <c r="B6" s="5" t="s">
        <v>7</v>
      </c>
      <c r="C6" s="6" t="s">
        <v>42</v>
      </c>
      <c r="D6" s="6" t="s">
        <v>72</v>
      </c>
    </row>
    <row r="7" spans="1:4" x14ac:dyDescent="0.25">
      <c r="A7" s="7" t="s">
        <v>55</v>
      </c>
      <c r="B7" s="8" t="s">
        <v>56</v>
      </c>
      <c r="C7" s="9" t="s">
        <v>11</v>
      </c>
      <c r="D7" s="9" t="s">
        <v>73</v>
      </c>
    </row>
    <row r="8" spans="1:4" x14ac:dyDescent="0.25">
      <c r="A8" s="10" t="s">
        <v>58</v>
      </c>
      <c r="B8" s="5" t="s">
        <v>56</v>
      </c>
      <c r="C8" s="6" t="s">
        <v>11</v>
      </c>
      <c r="D8" s="6" t="s">
        <v>74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328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77</v>
      </c>
      <c r="B4" s="25" t="s">
        <v>7</v>
      </c>
      <c r="C4" s="26" t="s">
        <v>8</v>
      </c>
      <c r="D4" s="26" t="s">
        <v>329</v>
      </c>
    </row>
    <row r="5" spans="1:4" x14ac:dyDescent="0.25">
      <c r="A5" s="7" t="s">
        <v>330</v>
      </c>
      <c r="B5" s="8" t="s">
        <v>7</v>
      </c>
      <c r="C5" s="9" t="s">
        <v>11</v>
      </c>
      <c r="D5" s="9" t="s">
        <v>331</v>
      </c>
    </row>
    <row r="6" spans="1:4" x14ac:dyDescent="0.25">
      <c r="A6" s="27" t="s">
        <v>138</v>
      </c>
      <c r="B6" s="25" t="s">
        <v>7</v>
      </c>
      <c r="C6" s="26" t="s">
        <v>16</v>
      </c>
      <c r="D6" s="26" t="s">
        <v>332</v>
      </c>
    </row>
    <row r="7" spans="1:4" x14ac:dyDescent="0.25">
      <c r="A7" s="7" t="s">
        <v>333</v>
      </c>
      <c r="B7" s="8" t="s">
        <v>19</v>
      </c>
      <c r="C7" s="9" t="s">
        <v>11</v>
      </c>
      <c r="D7" s="9" t="s">
        <v>334</v>
      </c>
    </row>
    <row r="8" spans="1:4" x14ac:dyDescent="0.25">
      <c r="A8" s="27" t="s">
        <v>335</v>
      </c>
      <c r="B8" s="25" t="s">
        <v>7</v>
      </c>
      <c r="C8" s="26" t="s">
        <v>336</v>
      </c>
      <c r="D8" s="26" t="s">
        <v>337</v>
      </c>
    </row>
    <row r="9" spans="1:4" x14ac:dyDescent="0.25">
      <c r="A9" s="7" t="s">
        <v>338</v>
      </c>
      <c r="B9" s="8" t="s">
        <v>7</v>
      </c>
      <c r="C9" s="9" t="s">
        <v>339</v>
      </c>
      <c r="D9" s="9" t="s">
        <v>340</v>
      </c>
    </row>
    <row r="10" spans="1:4" x14ac:dyDescent="0.25">
      <c r="A10" s="27" t="s">
        <v>341</v>
      </c>
      <c r="B10" s="25" t="s">
        <v>7</v>
      </c>
      <c r="C10" s="26" t="s">
        <v>342</v>
      </c>
      <c r="D10" s="26" t="s">
        <v>343</v>
      </c>
    </row>
    <row r="11" spans="1:4" x14ac:dyDescent="0.25">
      <c r="A11" s="7" t="s">
        <v>344</v>
      </c>
      <c r="B11" s="8" t="s">
        <v>7</v>
      </c>
      <c r="C11" s="9" t="s">
        <v>345</v>
      </c>
      <c r="D11" s="9" t="s">
        <v>346</v>
      </c>
    </row>
    <row r="12" spans="1:4" x14ac:dyDescent="0.25">
      <c r="A12" s="27" t="s">
        <v>347</v>
      </c>
      <c r="B12" s="25" t="s">
        <v>7</v>
      </c>
      <c r="C12" s="26" t="s">
        <v>348</v>
      </c>
      <c r="D12" s="26" t="s">
        <v>349</v>
      </c>
    </row>
    <row r="13" spans="1:4" x14ac:dyDescent="0.25">
      <c r="A13" s="7" t="s">
        <v>350</v>
      </c>
      <c r="B13" s="8" t="s">
        <v>7</v>
      </c>
      <c r="C13" s="9" t="s">
        <v>16</v>
      </c>
      <c r="D13" s="9" t="s">
        <v>351</v>
      </c>
    </row>
    <row r="14" spans="1:4" x14ac:dyDescent="0.25">
      <c r="A14" s="27" t="s">
        <v>352</v>
      </c>
      <c r="B14" s="25" t="s">
        <v>19</v>
      </c>
      <c r="C14" s="26" t="s">
        <v>16</v>
      </c>
      <c r="D14" s="26" t="s">
        <v>353</v>
      </c>
    </row>
    <row r="15" spans="1:4" x14ac:dyDescent="0.25">
      <c r="A15" s="7" t="s">
        <v>354</v>
      </c>
      <c r="B15" s="8" t="s">
        <v>19</v>
      </c>
      <c r="C15" s="9" t="s">
        <v>16</v>
      </c>
      <c r="D15" s="9" t="s">
        <v>355</v>
      </c>
    </row>
    <row r="16" spans="1:4" x14ac:dyDescent="0.25">
      <c r="A16" s="27" t="s">
        <v>132</v>
      </c>
      <c r="B16" s="25" t="s">
        <v>56</v>
      </c>
      <c r="C16" s="26" t="s">
        <v>11</v>
      </c>
      <c r="D16" s="26" t="s">
        <v>356</v>
      </c>
    </row>
    <row r="17" spans="1:4" x14ac:dyDescent="0.25">
      <c r="A17" s="12" t="s">
        <v>357</v>
      </c>
      <c r="B17" s="8" t="s">
        <v>7</v>
      </c>
      <c r="C17" s="9" t="s">
        <v>42</v>
      </c>
      <c r="D17" s="9" t="s">
        <v>358</v>
      </c>
    </row>
    <row r="18" spans="1:4" x14ac:dyDescent="0.25">
      <c r="A18" s="27" t="s">
        <v>189</v>
      </c>
      <c r="B18" s="25" t="s">
        <v>7</v>
      </c>
      <c r="C18" s="26" t="s">
        <v>359</v>
      </c>
      <c r="D18" s="26" t="s">
        <v>360</v>
      </c>
    </row>
    <row r="19" spans="1:4" x14ac:dyDescent="0.25">
      <c r="A19" s="7" t="s">
        <v>201</v>
      </c>
      <c r="B19" s="8" t="s">
        <v>7</v>
      </c>
      <c r="C19" s="9" t="s">
        <v>361</v>
      </c>
      <c r="D19" s="9" t="s">
        <v>362</v>
      </c>
    </row>
    <row r="20" spans="1:4" x14ac:dyDescent="0.25">
      <c r="A20" s="27" t="s">
        <v>212</v>
      </c>
      <c r="B20" s="25" t="s">
        <v>7</v>
      </c>
      <c r="C20" s="26" t="s">
        <v>363</v>
      </c>
      <c r="D20" s="26" t="s">
        <v>364</v>
      </c>
    </row>
    <row r="21" spans="1:4" x14ac:dyDescent="0.25">
      <c r="A21" s="7" t="s">
        <v>221</v>
      </c>
      <c r="B21" s="8" t="s">
        <v>7</v>
      </c>
      <c r="C21" s="9" t="s">
        <v>365</v>
      </c>
      <c r="D21" s="9" t="s">
        <v>366</v>
      </c>
    </row>
    <row r="22" spans="1:4" x14ac:dyDescent="0.25">
      <c r="A22" s="28" t="s">
        <v>182</v>
      </c>
      <c r="B22" s="25" t="s">
        <v>7</v>
      </c>
      <c r="C22" s="26" t="s">
        <v>283</v>
      </c>
      <c r="D22" s="26" t="s">
        <v>367</v>
      </c>
    </row>
    <row r="23" spans="1:4" x14ac:dyDescent="0.25">
      <c r="A23" s="12" t="s">
        <v>368</v>
      </c>
      <c r="B23" s="8" t="s">
        <v>7</v>
      </c>
      <c r="C23" s="9" t="s">
        <v>369</v>
      </c>
      <c r="D23" s="9" t="s">
        <v>370</v>
      </c>
    </row>
    <row r="24" spans="1:4" x14ac:dyDescent="0.25">
      <c r="A24" s="28" t="s">
        <v>259</v>
      </c>
      <c r="B24" s="25" t="s">
        <v>7</v>
      </c>
      <c r="C24" s="26" t="s">
        <v>371</v>
      </c>
      <c r="D24" s="26" t="s">
        <v>372</v>
      </c>
    </row>
    <row r="25" spans="1:4" x14ac:dyDescent="0.25">
      <c r="A25" s="12" t="s">
        <v>373</v>
      </c>
      <c r="B25" s="8" t="s">
        <v>19</v>
      </c>
      <c r="C25" s="9" t="s">
        <v>374</v>
      </c>
      <c r="D25" s="9" t="s">
        <v>375</v>
      </c>
    </row>
    <row r="26" spans="1:4" x14ac:dyDescent="0.25">
      <c r="A26" s="28" t="s">
        <v>376</v>
      </c>
      <c r="B26" s="25" t="s">
        <v>19</v>
      </c>
      <c r="C26" s="26" t="s">
        <v>311</v>
      </c>
      <c r="D26" s="26" t="s">
        <v>377</v>
      </c>
    </row>
    <row r="27" spans="1:4" x14ac:dyDescent="0.25">
      <c r="A27" s="12" t="s">
        <v>107</v>
      </c>
      <c r="B27" s="8" t="s">
        <v>7</v>
      </c>
      <c r="C27" s="9" t="s">
        <v>116</v>
      </c>
      <c r="D27" s="9" t="s">
        <v>378</v>
      </c>
    </row>
    <row r="28" spans="1:4" x14ac:dyDescent="0.25">
      <c r="A28" t="s">
        <v>158</v>
      </c>
      <c r="B28" t="s">
        <v>158</v>
      </c>
      <c r="C28" t="s">
        <v>158</v>
      </c>
      <c r="D28" t="s">
        <v>158</v>
      </c>
    </row>
    <row r="29" spans="1:4" x14ac:dyDescent="0.25">
      <c r="A29" s="29" t="s">
        <v>63</v>
      </c>
      <c r="B29" s="29" t="s">
        <v>158</v>
      </c>
      <c r="C29" s="29" t="s">
        <v>158</v>
      </c>
      <c r="D29" s="29" t="s">
        <v>158</v>
      </c>
    </row>
    <row r="30" spans="1:4" x14ac:dyDescent="0.25">
      <c r="A30" s="30" t="s">
        <v>379</v>
      </c>
      <c r="B30" s="30" t="s">
        <v>158</v>
      </c>
      <c r="C30" s="30" t="s">
        <v>158</v>
      </c>
      <c r="D30" s="30" t="s">
        <v>158</v>
      </c>
    </row>
    <row r="31" spans="1:4" x14ac:dyDescent="0.25">
      <c r="A31" s="30" t="s">
        <v>380</v>
      </c>
      <c r="B31" s="30" t="s">
        <v>158</v>
      </c>
      <c r="C31" s="30" t="s">
        <v>158</v>
      </c>
      <c r="D31" s="30" t="s">
        <v>158</v>
      </c>
    </row>
    <row r="32" spans="1:4" x14ac:dyDescent="0.25">
      <c r="A32" s="30" t="s">
        <v>381</v>
      </c>
      <c r="B32" s="30" t="s">
        <v>158</v>
      </c>
      <c r="C32" s="30" t="s">
        <v>158</v>
      </c>
      <c r="D32" s="30" t="s">
        <v>158</v>
      </c>
    </row>
    <row r="33" spans="1:4" x14ac:dyDescent="0.25">
      <c r="A33" s="30" t="s">
        <v>382</v>
      </c>
      <c r="B33" s="30" t="s">
        <v>158</v>
      </c>
      <c r="C33" s="30" t="s">
        <v>158</v>
      </c>
      <c r="D33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9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75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76</v>
      </c>
      <c r="B4" s="5" t="s">
        <v>19</v>
      </c>
      <c r="C4" s="6" t="s">
        <v>8</v>
      </c>
      <c r="D4" s="6" t="s">
        <v>24</v>
      </c>
    </row>
    <row r="5" spans="1:4" x14ac:dyDescent="0.25">
      <c r="A5" s="12" t="s">
        <v>77</v>
      </c>
      <c r="B5" s="8" t="s">
        <v>7</v>
      </c>
      <c r="C5" s="9" t="s">
        <v>78</v>
      </c>
      <c r="D5" s="9" t="s">
        <v>79</v>
      </c>
    </row>
    <row r="6" spans="1:4" x14ac:dyDescent="0.25">
      <c r="A6" s="11" t="s">
        <v>25</v>
      </c>
      <c r="B6" s="5" t="s">
        <v>19</v>
      </c>
      <c r="C6" s="6" t="s">
        <v>26</v>
      </c>
      <c r="D6" s="6" t="s">
        <v>80</v>
      </c>
    </row>
    <row r="7" spans="1:4" x14ac:dyDescent="0.25">
      <c r="A7" s="7" t="s">
        <v>81</v>
      </c>
      <c r="B7" s="8" t="s">
        <v>19</v>
      </c>
      <c r="C7" s="9" t="s">
        <v>11</v>
      </c>
      <c r="D7" s="9" t="s">
        <v>82</v>
      </c>
    </row>
    <row r="8" spans="1:4" x14ac:dyDescent="0.25">
      <c r="A8" s="10" t="s">
        <v>83</v>
      </c>
      <c r="B8" s="5" t="s">
        <v>7</v>
      </c>
      <c r="C8" s="6" t="s">
        <v>11</v>
      </c>
      <c r="D8" s="6" t="s">
        <v>84</v>
      </c>
    </row>
    <row r="9" spans="1:4" x14ac:dyDescent="0.25">
      <c r="A9" s="7" t="s">
        <v>85</v>
      </c>
      <c r="B9" s="8" t="s">
        <v>61</v>
      </c>
      <c r="C9" s="9" t="s">
        <v>11</v>
      </c>
      <c r="D9" s="9" t="s">
        <v>86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15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87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88</v>
      </c>
      <c r="B4" s="5" t="s">
        <v>19</v>
      </c>
      <c r="C4" s="6" t="s">
        <v>8</v>
      </c>
      <c r="D4" s="6" t="s">
        <v>24</v>
      </c>
    </row>
    <row r="5" spans="1:4" x14ac:dyDescent="0.25">
      <c r="A5" s="12" t="s">
        <v>77</v>
      </c>
      <c r="B5" s="8" t="s">
        <v>7</v>
      </c>
      <c r="C5" s="9" t="s">
        <v>89</v>
      </c>
      <c r="D5" s="9" t="s">
        <v>90</v>
      </c>
    </row>
    <row r="6" spans="1:4" x14ac:dyDescent="0.25">
      <c r="A6" s="11" t="s">
        <v>91</v>
      </c>
      <c r="B6" s="5" t="s">
        <v>7</v>
      </c>
      <c r="C6" s="6" t="s">
        <v>92</v>
      </c>
      <c r="D6" s="6" t="s">
        <v>93</v>
      </c>
    </row>
    <row r="7" spans="1:4" x14ac:dyDescent="0.25">
      <c r="A7" s="7" t="s">
        <v>94</v>
      </c>
      <c r="B7" s="8" t="s">
        <v>7</v>
      </c>
      <c r="C7" s="9" t="s">
        <v>16</v>
      </c>
      <c r="D7" s="9" t="s">
        <v>95</v>
      </c>
    </row>
    <row r="8" spans="1:4" x14ac:dyDescent="0.25">
      <c r="A8" s="10" t="s">
        <v>96</v>
      </c>
      <c r="B8" s="5" t="s">
        <v>7</v>
      </c>
      <c r="C8" s="6" t="s">
        <v>97</v>
      </c>
      <c r="D8" s="6" t="s">
        <v>98</v>
      </c>
    </row>
    <row r="9" spans="1:4" x14ac:dyDescent="0.25">
      <c r="A9" s="7" t="s">
        <v>99</v>
      </c>
      <c r="B9" s="8" t="s">
        <v>7</v>
      </c>
      <c r="C9" s="9" t="s">
        <v>11</v>
      </c>
      <c r="D9" s="9" t="s">
        <v>100</v>
      </c>
    </row>
    <row r="10" spans="1:4" x14ac:dyDescent="0.25">
      <c r="A10" s="10" t="s">
        <v>101</v>
      </c>
      <c r="B10" s="5" t="s">
        <v>7</v>
      </c>
      <c r="C10" s="6" t="s">
        <v>16</v>
      </c>
      <c r="D10" s="6" t="s">
        <v>102</v>
      </c>
    </row>
    <row r="12" spans="1:4" x14ac:dyDescent="0.25">
      <c r="A12" s="13" t="s">
        <v>63</v>
      </c>
      <c r="B12"/>
      <c r="C12"/>
      <c r="D12"/>
    </row>
    <row r="13" ht="30" customHeight="1" spans="1:4" x14ac:dyDescent="0.25">
      <c r="A13" s="14" t="s">
        <v>103</v>
      </c>
      <c r="B13"/>
      <c r="C13"/>
      <c r="D13"/>
    </row>
    <row r="14" ht="30" customHeight="1" spans="1:4" x14ac:dyDescent="0.25">
      <c r="A14" s="14" t="s">
        <v>104</v>
      </c>
      <c r="B14"/>
      <c r="C14"/>
      <c r="D14"/>
    </row>
    <row r="15" ht="45" customHeight="1" spans="1:4" x14ac:dyDescent="0.25">
      <c r="A15" s="14" t="s">
        <v>105</v>
      </c>
      <c r="B15"/>
      <c r="C15"/>
      <c r="D15"/>
    </row>
  </sheetData>
  <mergeCells count="6">
    <mergeCell ref="A1:D1"/>
    <mergeCell ref="A2:D2"/>
    <mergeCell ref="A12:D12"/>
    <mergeCell ref="A13:D13"/>
    <mergeCell ref="A14:D14"/>
    <mergeCell ref="A15:D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6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106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107</v>
      </c>
      <c r="B4" s="5" t="s">
        <v>7</v>
      </c>
      <c r="C4" s="6" t="s">
        <v>8</v>
      </c>
      <c r="D4" s="6" t="s">
        <v>108</v>
      </c>
    </row>
    <row r="5" spans="1:4" x14ac:dyDescent="0.25">
      <c r="A5" s="7" t="s">
        <v>109</v>
      </c>
      <c r="B5" s="8" t="s">
        <v>7</v>
      </c>
      <c r="C5" s="9" t="s">
        <v>11</v>
      </c>
      <c r="D5" s="9" t="s">
        <v>110</v>
      </c>
    </row>
    <row r="6" spans="1:4" x14ac:dyDescent="0.25">
      <c r="A6" s="10" t="s">
        <v>111</v>
      </c>
      <c r="B6" s="5" t="s">
        <v>7</v>
      </c>
      <c r="C6" s="6" t="s">
        <v>16</v>
      </c>
      <c r="D6" s="6" t="s">
        <v>112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5496"/>
    <outlinePr summaryBelow="1" summaryRight="1"/>
  </sheetPr>
  <dimension ref="A1:D10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113</v>
      </c>
      <c r="B1"/>
      <c r="C1"/>
      <c r="D1"/>
    </row>
    <row r="2" ht="16" customHeight="1" spans="1:4" x14ac:dyDescent="0.25">
      <c r="A2" s="2" t="s">
        <v>1</v>
      </c>
      <c r="B2"/>
      <c r="C2"/>
      <c r="D2"/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4" t="s">
        <v>114</v>
      </c>
      <c r="B4" s="5" t="s">
        <v>19</v>
      </c>
      <c r="C4" s="6" t="s">
        <v>8</v>
      </c>
      <c r="D4" s="6" t="s">
        <v>24</v>
      </c>
    </row>
    <row r="5" spans="1:4" x14ac:dyDescent="0.25">
      <c r="A5" s="12" t="s">
        <v>77</v>
      </c>
      <c r="B5" s="8" t="s">
        <v>7</v>
      </c>
      <c r="C5" s="9" t="s">
        <v>78</v>
      </c>
      <c r="D5" s="9" t="s">
        <v>115</v>
      </c>
    </row>
    <row r="6" spans="1:4" x14ac:dyDescent="0.25">
      <c r="A6" s="11" t="s">
        <v>107</v>
      </c>
      <c r="B6" s="5" t="s">
        <v>7</v>
      </c>
      <c r="C6" s="6" t="s">
        <v>116</v>
      </c>
      <c r="D6" s="6" t="s">
        <v>117</v>
      </c>
    </row>
    <row r="7" spans="1:4" x14ac:dyDescent="0.25">
      <c r="A7" s="12" t="s">
        <v>118</v>
      </c>
      <c r="B7" s="8" t="s">
        <v>7</v>
      </c>
      <c r="C7" s="9" t="s">
        <v>42</v>
      </c>
      <c r="D7" s="9" t="s">
        <v>119</v>
      </c>
    </row>
    <row r="8" spans="1:4" x14ac:dyDescent="0.25">
      <c r="A8" s="11" t="s">
        <v>68</v>
      </c>
      <c r="B8" s="5" t="s">
        <v>19</v>
      </c>
      <c r="C8" s="6" t="s">
        <v>120</v>
      </c>
      <c r="D8" s="6" t="s">
        <v>121</v>
      </c>
    </row>
    <row r="9" spans="1:4" x14ac:dyDescent="0.25">
      <c r="A9" s="7" t="s">
        <v>122</v>
      </c>
      <c r="B9" s="8" t="s">
        <v>123</v>
      </c>
      <c r="C9" s="9" t="s">
        <v>11</v>
      </c>
      <c r="D9" s="9" t="s">
        <v>124</v>
      </c>
    </row>
    <row r="10" spans="1:4" x14ac:dyDescent="0.25">
      <c r="A10" s="10" t="s">
        <v>125</v>
      </c>
      <c r="B10" s="5" t="s">
        <v>7</v>
      </c>
      <c r="C10" s="6" t="s">
        <v>16</v>
      </c>
      <c r="D10" s="6" t="s">
        <v>126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319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49</v>
      </c>
      <c r="B4" s="25" t="s">
        <v>19</v>
      </c>
      <c r="C4" s="26" t="s">
        <v>320</v>
      </c>
      <c r="D4" s="26" t="s">
        <v>321</v>
      </c>
    </row>
    <row r="5" spans="1:4" x14ac:dyDescent="0.25">
      <c r="A5" s="7" t="s">
        <v>322</v>
      </c>
      <c r="B5" s="8" t="s">
        <v>19</v>
      </c>
      <c r="C5" s="9" t="s">
        <v>11</v>
      </c>
      <c r="D5" s="9" t="s">
        <v>323</v>
      </c>
    </row>
    <row r="6" spans="1:4" x14ac:dyDescent="0.25">
      <c r="A6" s="27" t="s">
        <v>324</v>
      </c>
      <c r="B6" s="25" t="s">
        <v>19</v>
      </c>
      <c r="C6" s="26" t="s">
        <v>11</v>
      </c>
      <c r="D6" s="26" t="s">
        <v>325</v>
      </c>
    </row>
    <row r="7" spans="1:4" x14ac:dyDescent="0.25">
      <c r="A7" t="s">
        <v>158</v>
      </c>
      <c r="B7" t="s">
        <v>158</v>
      </c>
      <c r="C7" t="s">
        <v>158</v>
      </c>
      <c r="D7" t="s">
        <v>158</v>
      </c>
    </row>
    <row r="8" spans="1:4" x14ac:dyDescent="0.25">
      <c r="A8" s="29" t="s">
        <v>63</v>
      </c>
      <c r="B8" s="29" t="s">
        <v>158</v>
      </c>
      <c r="C8" s="29" t="s">
        <v>158</v>
      </c>
      <c r="D8" s="29" t="s">
        <v>158</v>
      </c>
    </row>
    <row r="9" spans="1:4" x14ac:dyDescent="0.25">
      <c r="A9" s="30" t="s">
        <v>326</v>
      </c>
      <c r="B9" s="30" t="s">
        <v>158</v>
      </c>
      <c r="C9" s="30" t="s">
        <v>158</v>
      </c>
      <c r="D9" s="30" t="s">
        <v>158</v>
      </c>
    </row>
    <row r="10" spans="1:4" x14ac:dyDescent="0.25">
      <c r="A10" s="30" t="s">
        <v>327</v>
      </c>
      <c r="B10" s="30" t="s">
        <v>158</v>
      </c>
      <c r="C10" s="30" t="s">
        <v>158</v>
      </c>
      <c r="D10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55A11"/>
    <outlinePr summaryBelow="1" summaryRight="1"/>
  </sheetPr>
  <dimension ref="A1:D16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5" t="s">
        <v>127</v>
      </c>
      <c r="B1"/>
      <c r="C1"/>
      <c r="D1"/>
    </row>
    <row r="2" ht="16" customHeight="1" spans="1:4" x14ac:dyDescent="0.25">
      <c r="A2" s="16" t="s">
        <v>128</v>
      </c>
      <c r="B2"/>
      <c r="C2"/>
      <c r="D2"/>
    </row>
    <row r="3" ht="20" customHeight="1" spans="1:4" x14ac:dyDescent="0.25">
      <c r="A3" s="17" t="s">
        <v>2</v>
      </c>
      <c r="B3" s="17" t="s">
        <v>3</v>
      </c>
      <c r="C3" s="17" t="s">
        <v>4</v>
      </c>
      <c r="D3" s="17" t="s">
        <v>5</v>
      </c>
    </row>
    <row r="4" spans="1:4" x14ac:dyDescent="0.25">
      <c r="A4" s="4" t="s">
        <v>91</v>
      </c>
      <c r="B4" s="5" t="s">
        <v>7</v>
      </c>
      <c r="C4" s="6" t="s">
        <v>8</v>
      </c>
      <c r="D4" s="6">
        <f> NUMERO de la FAD + suffixe séquentiel -Cnn (ex. 2026-08-23-014-C01) — D9</f>
      </c>
    </row>
    <row r="5" spans="1:4" x14ac:dyDescent="0.25">
      <c r="A5" s="18" t="s">
        <v>77</v>
      </c>
      <c r="B5" s="19" t="s">
        <v>7</v>
      </c>
      <c r="C5" s="20" t="s">
        <v>78</v>
      </c>
      <c r="D5" s="20" t="s">
        <v>129</v>
      </c>
    </row>
    <row r="6" spans="1:4" x14ac:dyDescent="0.25">
      <c r="A6" s="11" t="s">
        <v>130</v>
      </c>
      <c r="B6" s="5" t="s">
        <v>7</v>
      </c>
      <c r="C6" s="6" t="s">
        <v>42</v>
      </c>
      <c r="D6" s="6" t="s">
        <v>131</v>
      </c>
    </row>
    <row r="7" spans="1:4" x14ac:dyDescent="0.25">
      <c r="A7" s="21" t="s">
        <v>132</v>
      </c>
      <c r="B7" s="19" t="s">
        <v>56</v>
      </c>
      <c r="C7" s="20" t="s">
        <v>11</v>
      </c>
      <c r="D7" s="20" t="s">
        <v>133</v>
      </c>
    </row>
    <row r="8" spans="1:4" x14ac:dyDescent="0.25">
      <c r="A8" s="10" t="s">
        <v>134</v>
      </c>
      <c r="B8" s="5" t="s">
        <v>56</v>
      </c>
      <c r="C8" s="6" t="s">
        <v>16</v>
      </c>
      <c r="D8" s="6" t="s">
        <v>135</v>
      </c>
    </row>
    <row r="9" spans="1:4" x14ac:dyDescent="0.25">
      <c r="A9" s="21" t="s">
        <v>136</v>
      </c>
      <c r="B9" s="19" t="s">
        <v>19</v>
      </c>
      <c r="C9" s="20" t="s">
        <v>16</v>
      </c>
      <c r="D9" s="20" t="s">
        <v>137</v>
      </c>
    </row>
    <row r="10" spans="1:4" x14ac:dyDescent="0.25">
      <c r="A10" s="10" t="s">
        <v>138</v>
      </c>
      <c r="B10" s="5" t="s">
        <v>7</v>
      </c>
      <c r="C10" s="6" t="s">
        <v>16</v>
      </c>
      <c r="D10" s="6" t="s">
        <v>139</v>
      </c>
    </row>
    <row r="11" spans="1:4" x14ac:dyDescent="0.25">
      <c r="A11" s="18" t="s">
        <v>140</v>
      </c>
      <c r="B11" s="19" t="s">
        <v>7</v>
      </c>
      <c r="C11" s="20" t="s">
        <v>141</v>
      </c>
      <c r="D11" s="20" t="s">
        <v>142</v>
      </c>
    </row>
    <row r="13" spans="1:4" x14ac:dyDescent="0.25">
      <c r="A13" s="22" t="s">
        <v>63</v>
      </c>
      <c r="B13"/>
      <c r="C13"/>
      <c r="D13"/>
    </row>
    <row r="14" ht="15" customHeight="1" spans="1:4" x14ac:dyDescent="0.25">
      <c r="A14" s="14" t="s">
        <v>143</v>
      </c>
      <c r="B14"/>
      <c r="C14"/>
      <c r="D14"/>
    </row>
    <row r="15" ht="45" customHeight="1" spans="1:4" x14ac:dyDescent="0.25">
      <c r="A15" s="14" t="s">
        <v>144</v>
      </c>
      <c r="B15"/>
      <c r="C15"/>
      <c r="D15"/>
    </row>
    <row r="16" ht="30" customHeight="1" spans="1:4" x14ac:dyDescent="0.25">
      <c r="A16" s="14" t="s">
        <v>145</v>
      </c>
      <c r="B16"/>
      <c r="C16"/>
      <c r="D16"/>
    </row>
  </sheetData>
  <mergeCells count="6">
    <mergeCell ref="A1:D1"/>
    <mergeCell ref="A2:D2"/>
    <mergeCell ref="A13:D13"/>
    <mergeCell ref="A14:D14"/>
    <mergeCell ref="A15:D15"/>
    <mergeCell ref="A16:D1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55A11"/>
    <outlinePr summaryBelow="1" summaryRight="1"/>
  </sheetPr>
  <dimension ref="A1:D9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5" t="s">
        <v>146</v>
      </c>
      <c r="B1"/>
      <c r="C1"/>
      <c r="D1"/>
    </row>
    <row r="2" ht="16" customHeight="1" spans="1:4" x14ac:dyDescent="0.25">
      <c r="A2" s="16" t="s">
        <v>128</v>
      </c>
      <c r="B2"/>
      <c r="C2"/>
      <c r="D2"/>
    </row>
    <row r="3" ht="20" customHeight="1" spans="1:4" x14ac:dyDescent="0.25">
      <c r="A3" s="17" t="s">
        <v>2</v>
      </c>
      <c r="B3" s="17" t="s">
        <v>3</v>
      </c>
      <c r="C3" s="17" t="s">
        <v>4</v>
      </c>
      <c r="D3" s="17" t="s">
        <v>5</v>
      </c>
    </row>
    <row r="4" spans="1:4" x14ac:dyDescent="0.25">
      <c r="A4" s="4" t="s">
        <v>140</v>
      </c>
      <c r="B4" s="5" t="s">
        <v>7</v>
      </c>
      <c r="C4" s="6" t="s">
        <v>8</v>
      </c>
      <c r="D4" s="6" t="s">
        <v>147</v>
      </c>
    </row>
    <row r="5" spans="1:4" x14ac:dyDescent="0.25">
      <c r="A5" s="21" t="s">
        <v>109</v>
      </c>
      <c r="B5" s="19" t="s">
        <v>7</v>
      </c>
      <c r="C5" s="20" t="s">
        <v>11</v>
      </c>
      <c r="D5" s="20" t="s">
        <v>110</v>
      </c>
    </row>
    <row r="6" spans="1:4" x14ac:dyDescent="0.25">
      <c r="A6" s="10" t="s">
        <v>111</v>
      </c>
      <c r="B6" s="5" t="s">
        <v>7</v>
      </c>
      <c r="C6" s="6" t="s">
        <v>16</v>
      </c>
      <c r="D6" s="6" t="s">
        <v>112</v>
      </c>
    </row>
    <row r="8" spans="1:4" x14ac:dyDescent="0.25">
      <c r="A8" s="22" t="s">
        <v>63</v>
      </c>
      <c r="B8"/>
      <c r="C8"/>
      <c r="D8"/>
    </row>
    <row r="9" ht="45" customHeight="1" spans="1:4" x14ac:dyDescent="0.25">
      <c r="A9" s="14" t="s">
        <v>148</v>
      </c>
      <c r="B9"/>
      <c r="C9"/>
      <c r="D9"/>
    </row>
  </sheetData>
  <mergeCells count="4">
    <mergeCell ref="A1:D1"/>
    <mergeCell ref="A2:D2"/>
    <mergeCell ref="A8:D8"/>
    <mergeCell ref="A9:D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55A11"/>
    <outlinePr summaryBelow="1" summaryRight="1"/>
  </sheetPr>
  <dimension ref="A1:D13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5" t="s">
        <v>149</v>
      </c>
      <c r="B1"/>
      <c r="C1"/>
      <c r="D1"/>
    </row>
    <row r="2" ht="16" customHeight="1" spans="1:4" x14ac:dyDescent="0.25">
      <c r="A2" s="16" t="s">
        <v>128</v>
      </c>
      <c r="B2"/>
      <c r="C2"/>
      <c r="D2"/>
    </row>
    <row r="3" ht="20" customHeight="1" spans="1:4" x14ac:dyDescent="0.25">
      <c r="A3" s="17" t="s">
        <v>2</v>
      </c>
      <c r="B3" s="17" t="s">
        <v>3</v>
      </c>
      <c r="C3" s="17" t="s">
        <v>4</v>
      </c>
      <c r="D3" s="17" t="s">
        <v>5</v>
      </c>
    </row>
    <row r="4" spans="1:4" x14ac:dyDescent="0.25">
      <c r="A4" s="4" t="s">
        <v>150</v>
      </c>
      <c r="B4" s="5" t="s">
        <v>19</v>
      </c>
      <c r="C4" s="6" t="s">
        <v>8</v>
      </c>
      <c r="D4" s="6" t="s">
        <v>24</v>
      </c>
    </row>
    <row r="5" spans="1:4" x14ac:dyDescent="0.25">
      <c r="A5" s="18" t="s">
        <v>91</v>
      </c>
      <c r="B5" s="19" t="s">
        <v>7</v>
      </c>
      <c r="C5" s="20" t="s">
        <v>151</v>
      </c>
      <c r="D5" s="20" t="s">
        <v>152</v>
      </c>
    </row>
    <row r="6" spans="1:4" x14ac:dyDescent="0.25">
      <c r="A6" s="11" t="s">
        <v>140</v>
      </c>
      <c r="B6" s="5" t="s">
        <v>7</v>
      </c>
      <c r="C6" s="6" t="s">
        <v>141</v>
      </c>
      <c r="D6" s="6" t="s">
        <v>117</v>
      </c>
    </row>
    <row r="7" spans="1:4" x14ac:dyDescent="0.25">
      <c r="A7" s="18" t="s">
        <v>118</v>
      </c>
      <c r="B7" s="19" t="s">
        <v>7</v>
      </c>
      <c r="C7" s="20" t="s">
        <v>42</v>
      </c>
      <c r="D7" s="20" t="s">
        <v>153</v>
      </c>
    </row>
    <row r="8" spans="1:4" x14ac:dyDescent="0.25">
      <c r="A8" s="11" t="s">
        <v>68</v>
      </c>
      <c r="B8" s="5" t="s">
        <v>19</v>
      </c>
      <c r="C8" s="6" t="s">
        <v>120</v>
      </c>
      <c r="D8" s="6" t="s">
        <v>154</v>
      </c>
    </row>
    <row r="9" spans="1:4" x14ac:dyDescent="0.25">
      <c r="A9" s="21" t="s">
        <v>122</v>
      </c>
      <c r="B9" s="19" t="s">
        <v>123</v>
      </c>
      <c r="C9" s="20" t="s">
        <v>11</v>
      </c>
      <c r="D9" s="20" t="s">
        <v>124</v>
      </c>
    </row>
    <row r="10" spans="1:4" x14ac:dyDescent="0.25">
      <c r="A10" s="10" t="s">
        <v>125</v>
      </c>
      <c r="B10" s="5" t="s">
        <v>7</v>
      </c>
      <c r="C10" s="6" t="s">
        <v>16</v>
      </c>
      <c r="D10" s="6" t="s">
        <v>155</v>
      </c>
    </row>
    <row r="12" spans="1:4" x14ac:dyDescent="0.25">
      <c r="A12" s="22" t="s">
        <v>63</v>
      </c>
      <c r="B12"/>
      <c r="C12"/>
      <c r="D12"/>
    </row>
    <row r="13" ht="30" customHeight="1" spans="1:4" x14ac:dyDescent="0.25">
      <c r="A13" s="14" t="s">
        <v>156</v>
      </c>
      <c r="B13"/>
      <c r="C13"/>
      <c r="D13"/>
    </row>
  </sheetData>
  <mergeCells count="4">
    <mergeCell ref="A1:D1"/>
    <mergeCell ref="A2:D2"/>
    <mergeCell ref="A12:D12"/>
    <mergeCell ref="A13:D1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198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189</v>
      </c>
      <c r="B4" s="25" t="s">
        <v>7</v>
      </c>
      <c r="C4" s="26" t="s">
        <v>199</v>
      </c>
      <c r="D4" s="26" t="s">
        <v>200</v>
      </c>
    </row>
    <row r="5" spans="1:4" x14ac:dyDescent="0.25">
      <c r="A5" s="31" t="s">
        <v>201</v>
      </c>
      <c r="B5" s="8" t="s">
        <v>7</v>
      </c>
      <c r="C5" s="9" t="s">
        <v>202</v>
      </c>
      <c r="D5" s="9" t="s">
        <v>203</v>
      </c>
    </row>
    <row r="6" spans="1:4" x14ac:dyDescent="0.25">
      <c r="A6" s="27" t="s">
        <v>204</v>
      </c>
      <c r="B6" s="25" t="s">
        <v>7</v>
      </c>
      <c r="C6" s="26" t="s">
        <v>11</v>
      </c>
      <c r="D6" s="26" t="s">
        <v>205</v>
      </c>
    </row>
    <row r="7" spans="1:4" x14ac:dyDescent="0.25">
      <c r="A7" s="7" t="s">
        <v>206</v>
      </c>
      <c r="B7" s="8" t="s">
        <v>19</v>
      </c>
      <c r="C7" s="9" t="s">
        <v>11</v>
      </c>
      <c r="D7" s="9" t="s">
        <v>207</v>
      </c>
    </row>
    <row r="8" spans="1:4" x14ac:dyDescent="0.25">
      <c r="A8" s="27" t="s">
        <v>60</v>
      </c>
      <c r="B8" s="25" t="s">
        <v>61</v>
      </c>
      <c r="C8" s="26" t="s">
        <v>11</v>
      </c>
      <c r="D8" s="26" t="s">
        <v>208</v>
      </c>
    </row>
    <row r="9" spans="1:4" x14ac:dyDescent="0.25">
      <c r="A9" t="s">
        <v>158</v>
      </c>
      <c r="B9" t="s">
        <v>158</v>
      </c>
      <c r="C9" t="s">
        <v>158</v>
      </c>
      <c r="D9" t="s">
        <v>158</v>
      </c>
    </row>
    <row r="10" spans="1:4" x14ac:dyDescent="0.25">
      <c r="A10" s="29" t="s">
        <v>63</v>
      </c>
      <c r="B10" s="29" t="s">
        <v>158</v>
      </c>
      <c r="C10" s="29" t="s">
        <v>158</v>
      </c>
      <c r="D10" s="29" t="s">
        <v>158</v>
      </c>
    </row>
    <row r="11" spans="1:4" x14ac:dyDescent="0.25">
      <c r="A11" s="30" t="s">
        <v>209</v>
      </c>
      <c r="B11" s="30" t="s">
        <v>158</v>
      </c>
      <c r="C11" s="30" t="s">
        <v>158</v>
      </c>
      <c r="D11" s="30" t="s">
        <v>158</v>
      </c>
    </row>
    <row r="12" spans="1:4" x14ac:dyDescent="0.25">
      <c r="A12" s="30" t="s">
        <v>210</v>
      </c>
      <c r="B12" s="30" t="s">
        <v>158</v>
      </c>
      <c r="C12" s="30" t="s">
        <v>158</v>
      </c>
      <c r="D12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FormatPr defaultRowHeight="15" outlineLevelRow="0" outlineLevelCol="0" x14ac:dyDescent="55"/>
  <cols>
    <col min="1" max="1" width="30" customWidth="1"/>
    <col min="2" max="2" width="12" customWidth="1"/>
    <col min="3" max="3" width="42" customWidth="1"/>
    <col min="4" max="4" width="72" customWidth="1"/>
  </cols>
  <sheetData>
    <row r="1" ht="26" customHeight="1" spans="1:4" x14ac:dyDescent="0.25">
      <c r="A1" s="1" t="s">
        <v>218</v>
      </c>
      <c r="B1" s="1" t="s">
        <v>158</v>
      </c>
      <c r="C1" s="1" t="s">
        <v>158</v>
      </c>
      <c r="D1" s="1" t="s">
        <v>158</v>
      </c>
    </row>
    <row r="2" ht="16" customHeight="1" spans="1:4" x14ac:dyDescent="0.25">
      <c r="A2" s="23" t="s">
        <v>1</v>
      </c>
      <c r="B2" s="23" t="s">
        <v>158</v>
      </c>
      <c r="C2" s="23" t="s">
        <v>158</v>
      </c>
      <c r="D2" s="23" t="s">
        <v>158</v>
      </c>
    </row>
    <row r="3" ht="20" customHeight="1" spans="1:4" x14ac:dyDescent="0.25">
      <c r="A3" s="3" t="s">
        <v>2</v>
      </c>
      <c r="B3" s="3" t="s">
        <v>3</v>
      </c>
      <c r="C3" s="3" t="s">
        <v>4</v>
      </c>
      <c r="D3" s="3" t="s">
        <v>5</v>
      </c>
    </row>
    <row r="4" spans="1:4" x14ac:dyDescent="0.25">
      <c r="A4" s="24" t="s">
        <v>212</v>
      </c>
      <c r="B4" s="25" t="s">
        <v>7</v>
      </c>
      <c r="C4" s="26" t="s">
        <v>219</v>
      </c>
      <c r="D4" s="26" t="s">
        <v>220</v>
      </c>
    </row>
    <row r="5" spans="1:4" x14ac:dyDescent="0.25">
      <c r="A5" s="31" t="s">
        <v>221</v>
      </c>
      <c r="B5" s="8" t="s">
        <v>7</v>
      </c>
      <c r="C5" s="9" t="s">
        <v>202</v>
      </c>
      <c r="D5" s="9" t="s">
        <v>222</v>
      </c>
    </row>
    <row r="6" spans="1:4" x14ac:dyDescent="0.25">
      <c r="A6" s="27" t="s">
        <v>223</v>
      </c>
      <c r="B6" s="25" t="s">
        <v>7</v>
      </c>
      <c r="C6" s="26" t="s">
        <v>11</v>
      </c>
      <c r="D6" s="26" t="s">
        <v>224</v>
      </c>
    </row>
    <row r="7" spans="1:4" x14ac:dyDescent="0.25">
      <c r="A7" s="7" t="s">
        <v>225</v>
      </c>
      <c r="B7" s="8" t="s">
        <v>19</v>
      </c>
      <c r="C7" s="9" t="s">
        <v>11</v>
      </c>
      <c r="D7" s="9" t="s">
        <v>207</v>
      </c>
    </row>
    <row r="8" spans="1:4" x14ac:dyDescent="0.25">
      <c r="A8" s="27" t="s">
        <v>60</v>
      </c>
      <c r="B8" s="25" t="s">
        <v>61</v>
      </c>
      <c r="C8" s="26" t="s">
        <v>11</v>
      </c>
      <c r="D8" s="26" t="s">
        <v>208</v>
      </c>
    </row>
    <row r="9" spans="1:4" x14ac:dyDescent="0.25">
      <c r="A9" t="s">
        <v>158</v>
      </c>
      <c r="B9" t="s">
        <v>158</v>
      </c>
      <c r="C9" t="s">
        <v>158</v>
      </c>
      <c r="D9" t="s">
        <v>158</v>
      </c>
    </row>
    <row r="10" spans="1:4" x14ac:dyDescent="0.25">
      <c r="A10" s="29" t="s">
        <v>63</v>
      </c>
      <c r="B10" s="29" t="s">
        <v>158</v>
      </c>
      <c r="C10" s="29" t="s">
        <v>158</v>
      </c>
      <c r="D10" s="29" t="s">
        <v>158</v>
      </c>
    </row>
    <row r="11" spans="1:4" x14ac:dyDescent="0.25">
      <c r="A11" s="30" t="s">
        <v>226</v>
      </c>
      <c r="B11" s="30" t="s">
        <v>158</v>
      </c>
      <c r="C11" s="30" t="s">
        <v>158</v>
      </c>
      <c r="D11" s="30" t="s">
        <v>158</v>
      </c>
    </row>
    <row r="12" spans="1:4" x14ac:dyDescent="0.25">
      <c r="A12" s="30" t="s">
        <v>227</v>
      </c>
      <c r="B12" s="30" t="s">
        <v>158</v>
      </c>
      <c r="C12" s="30" t="s">
        <v>158</v>
      </c>
      <c r="D12" s="30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ACTEUR</vt:lpstr>
      <vt:lpstr>CONTACT</vt:lpstr>
      <vt:lpstr>ROLE</vt:lpstr>
      <vt:lpstr>SUPPLEANCE</vt:lpstr>
      <vt:lpstr>DEVIS_CONSULTE</vt:lpstr>
      <vt:lpstr>PIECE_JOINTE</vt:lpstr>
      <vt:lpstr>STATUT</vt:lpstr>
      <vt:lpstr>HISTORIQUE_STATUT</vt:lpstr>
      <vt:lpstr>CERTIFICAT_SERVICE_FAIT</vt:lpstr>
      <vt:lpstr>STATUT_CSF</vt:lpstr>
      <vt:lpstr>HISTORIQUE_STATUT_CSF</vt:lpstr>
      <vt:lpstr>DIRECTION</vt:lpstr>
      <vt:lpstr>SERVICE</vt:lpstr>
      <vt:lpstr>CELLULE</vt:lpstr>
      <vt:lpstr>CUG</vt:lpstr>
      <vt:lpstr>SITE</vt:lpstr>
      <vt:lpstr>SOUS_SITE</vt:lpstr>
      <vt:lpstr>SECTEUR</vt:lpstr>
      <vt:lpstr>SOUS_SECTEUR</vt:lpstr>
      <vt:lpstr>FOURNISSEUR</vt:lpstr>
      <vt:lpstr>MARCHE</vt:lpstr>
      <vt:lpstr>SEUIL_VALIDATION_DS</vt:lpstr>
      <vt:lpstr>DEMANDE_ACHAT</vt:lpstr>
      <vt:lpstr>OPERATION_INVESTISSEMENT</vt:lpstr>
      <vt:lpstr>SOMMAIRE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2026-08-24T08:13:27Z</dcterms:created>
  <dcterms:modified xsi:type="dcterms:W3CDTF">2026-08-24T08:13:27Z</dcterms:modified>
</cp:coreProperties>
</file>